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d9aa6fea1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c20ab59d6274841"/>
    <x:sheet xmlns:r="http://schemas.openxmlformats.org/officeDocument/2006/relationships" name="任务清单" sheetId="2" r:id="Rae04eb17f4f04214"/>
    <x:sheet xmlns:r="http://schemas.openxmlformats.org/officeDocument/2006/relationships" name="依赖关系" sheetId="3" r:id="R3a934b7f894d4fd8"/>
    <x:sheet xmlns:r="http://schemas.openxmlformats.org/officeDocument/2006/relationships" name="服务器采购" sheetId="4" r:id="Rc389caa20d414036"/>
    <x:sheet xmlns:r="http://schemas.openxmlformats.org/officeDocument/2006/relationships" name="账号支付合规" sheetId="5" r:id="Rb6f729de890044bf"/>
    <x:sheet xmlns:r="http://schemas.openxmlformats.org/officeDocument/2006/relationships" name="数据源" sheetId="6" r:id="R07e565d2569b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0"/>
      <x:color rgb="FF111827"/>
      <x:name val="Microsoft YaHei"/>
    </x:font>
    <x:font>
      <x:b/>
      <x:sz val="12"/>
      <x:color rgb="FF12343B"/>
      <x:name val="Microsoft YaHei"/>
    </x:font>
    <x:font>
      <x:b/>
      <x:sz val="10"/>
      <x:color rgb="FFFFFFFF"/>
      <x:name val="Microsoft YaHei"/>
    </x:font>
    <x:font>
      <x:sz val="1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1F6F78"/>
      </x:patternFill>
    </x:fill>
    <x:fill>
      <x:patternFill patternType="solid">
        <x:fgColor rgb="FFFAFBFC"/>
      </x:patternFill>
    </x:fill>
    <x:fill>
      <x:patternFill patternType="solid">
        <x:fgColor rgb="FFFFF4CC"/>
      </x:patternFill>
    </x:fill>
    <x:fill>
      <x:patternFill patternType="solid">
        <x:fgColor rgb="FFD8F3DC"/>
      </x:patternFill>
    </x:fill>
    <x:fill>
      <x:patternFill patternType="solid">
        <x:fgColor rgb="FFDDEBFF"/>
      </x:patternFill>
    </x:fill>
    <x:fill>
      <x:patternFill patternType="solid">
        <x:fgColor rgb="FFE5E7EB"/>
      </x:patternFill>
    </x:fill>
    <x:fill>
      <x:patternFill patternType="solid">
        <x:fgColor rgb="FFDDEFEF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top" wrapText="1"/>
    </x:xf>
    <x:xf numFmtId="0" fontId="3" fillId="10" borderId="2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horizontal="center" vertical="top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8F3D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ADBD8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3b7180ac14e82" /><Relationship Type="http://schemas.openxmlformats.org/officeDocument/2006/relationships/theme" Target="/xl/theme/theme1.xml" Id="Re88f30493f824199" /><Relationship Type="http://schemas.openxmlformats.org/officeDocument/2006/relationships/sharedStrings" Target="/xl/sharedStrings.xml" Id="R12432c362a424903" /><Relationship Type="http://schemas.openxmlformats.org/officeDocument/2006/relationships/worksheet" Target="/xl/worksheets/sheet1.xml" Id="R8c20ab59d6274841" /><Relationship Type="http://schemas.openxmlformats.org/officeDocument/2006/relationships/worksheet" Target="/xl/worksheets/sheet2.xml" Id="Rae04eb17f4f04214" /><Relationship Type="http://schemas.openxmlformats.org/officeDocument/2006/relationships/worksheet" Target="/xl/worksheets/sheet3.xml" Id="R3a934b7f894d4fd8" /><Relationship Type="http://schemas.openxmlformats.org/officeDocument/2006/relationships/worksheet" Target="/xl/worksheets/sheet4.xml" Id="Rc389caa20d414036" /><Relationship Type="http://schemas.openxmlformats.org/officeDocument/2006/relationships/worksheet" Target="/xl/worksheets/sheet5.xml" Id="Rb6f729de890044bf" /><Relationship Type="http://schemas.openxmlformats.org/officeDocument/2006/relationships/worksheet" Target="/xl/worksheets/sheet6.xml" Id="R07e565d2569b42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525b38ff2142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负责人任务量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任务数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"/>
              <c:pt idx="0">
                <c:v>你</c:v>
              </c:pt>
              <c:pt idx="1">
                <c:v>我</c:v>
              </c:pt>
              <c:pt idx="2">
                <c:v>共同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30</c:v>
              </c:pt>
              <c:pt idx="2">
                <c:v>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20</xdr:row>
      <xdr:rowOff>0</xdr:rowOff>
    </xdr:from>
    <xdr:ext cx="4953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525b38ff2142b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5c07daba9c475f" /></Relationships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1.110000610351562" hidden="0" customWidth="1"/>
    <x:col min="3" max="3" width="24.440000534057617" hidden="0" customWidth="1"/>
    <x:col min="4" max="4" width="26.670000076293945" hidden="0" customWidth="1"/>
    <x:col min="5" max="5" width="21.110000610351562" hidden="0" customWidth="1"/>
    <x:col min="6" max="6" width="23.329999923706055" hidden="0" customWidth="1"/>
    <x:col min="7" max="7" width="21.110000610351562" hidden="0" customWidth="1"/>
    <x:col min="8" max="8" width="21.110000610351562" hidden="0" customWidth="1"/>
  </x:cols>
  <x:sheetData>
    <x:row r="1" ht="31.5" customHeight="1">
      <x:c r="A1" s="31" t="str">
        <x:v>欧美易经项目推进总览（2026-06-15 起）</x:v>
      </x:c>
      <x:c r="B1" s="31" t="str"/>
      <x:c r="C1" s="31" t="str"/>
      <x:c r="D1" s="31" t="str"/>
      <x:c r="E1" s="31" t="str"/>
      <x:c r="F1" s="31" t="str"/>
      <x:c r="G1" s="31" t="str"/>
      <x:c r="H1" s="31" t="str"/>
      <x:c r="I1" s="32"/>
      <x:c r="J1" s="32"/>
      <x:c r="K1" s="32"/>
    </x:row>
    <x:row r="3">
      <x:c r="A3" s="11" t="str">
        <x:v>项目定位</x:v>
      </x:c>
      <x:c r="B3" s="11" t="str">
        <x:v>I Ching 64 卦系统，以 Natural Revelations / Universal Energy 包装欧美身心灵数字产品</x:v>
      </x:c>
      <x:c r="D3" s="11" t="str">
        <x:v>近期关键路径</x:v>
      </x:c>
      <x:c r="E3" s="11" t="str">
        <x:v>负责人</x:v>
      </x:c>
      <x:c r="F3" s="11" t="str">
        <x:v>前置</x:v>
      </x:c>
      <x:c r="G3" s="11" t="str">
        <x:v>截止</x:v>
      </x:c>
      <x:c r="H3" s="11" t="str">
        <x:v>状态</x:v>
      </x:c>
    </x:row>
    <x:row r="4">
      <x:c r="A4" s="16" t="str">
        <x:v>当前主线</x:v>
      </x:c>
      <x:c r="B4" s="16" t="str">
        <x:v>服务器和账号基建 -&gt; Prompt/内容验证 -&gt; MVP开发 -&gt; 支付与合规 -&gt; 社媒验证 -&gt; 上线增长</x:v>
      </x:c>
      <x:c r="D4" s="16" t="str">
        <x:v>购买海外运营桌面服务器</x:v>
      </x:c>
      <x:c r="E4" s="16" t="str">
        <x:v>你</x:v>
      </x:c>
      <x:c r="F4" s="16" t="str">
        <x:v>无</x:v>
      </x:c>
      <x:c r="G4" s="16" t="str">
        <x:v>2026-06-16</x:v>
      </x:c>
      <x:c r="H4" s="16" t="str">
        <x:v>已完成</x:v>
      </x:c>
    </x:row>
    <x:row r="5">
      <x:c r="A5" s="25" t="str">
        <x:v>总任务数</x:v>
      </x:c>
      <x:c r="B5" s="30" t="n">
        <x:f>COUNTA('任务清单'!A3:A54)</x:f>
        <x:v>52</x:v>
      </x:c>
      <x:c r="D5" s="16" t="str">
        <x:v>提供远程桌面登录信息</x:v>
      </x:c>
      <x:c r="E5" s="16" t="str">
        <x:v>你</x:v>
      </x:c>
      <x:c r="F5" s="16" t="str">
        <x:v>T001</x:v>
      </x:c>
      <x:c r="G5" s="16" t="str">
        <x:v>2026-06-16</x:v>
      </x:c>
      <x:c r="H5" s="16" t="str">
        <x:v>已完成</x:v>
      </x:c>
    </x:row>
    <x:row r="6">
      <x:c r="A6" s="25" t="str">
        <x:v>已完成</x:v>
      </x:c>
      <x:c r="B6" s="30" t="n">
        <x:f>COUNTIF('任务清单'!E3:E54,"已完成")</x:f>
        <x:v>5</x:v>
      </x:c>
      <x:c r="D6" s="16" t="str">
        <x:v>配置中文桌面/浏览器/资料同步</x:v>
      </x:c>
      <x:c r="E6" s="16" t="str">
        <x:v>我</x:v>
      </x:c>
      <x:c r="F6" s="16" t="str">
        <x:v>T003</x:v>
      </x:c>
      <x:c r="G6" s="16" t="str">
        <x:v>2026-06-17</x:v>
      </x:c>
      <x:c r="H6" s="16" t="str">
        <x:v>已完成</x:v>
      </x:c>
    </x:row>
    <x:row r="7">
      <x:c r="A7" s="25" t="str">
        <x:v>进行中</x:v>
      </x:c>
      <x:c r="B7" s="30" t="n">
        <x:f>COUNTIF('任务清单'!E3:E54,"进行中")</x:f>
        <x:v>0</x:v>
      </x:c>
      <x:c r="D7" s="16" t="str">
        <x:v>确认域名和品牌英文名</x:v>
      </x:c>
      <x:c r="E7" s="16" t="str">
        <x:v>你</x:v>
      </x:c>
      <x:c r="F7" s="16" t="str">
        <x:v>无</x:v>
      </x:c>
      <x:c r="G7" s="16" t="str">
        <x:v>2026-06-18</x:v>
      </x:c>
      <x:c r="H7" s="16" t="str">
        <x:v>未开始</x:v>
      </x:c>
    </x:row>
    <x:row r="8">
      <x:c r="A8" s="25" t="str">
        <x:v>阻塞</x:v>
      </x:c>
      <x:c r="B8" s="30" t="n">
        <x:f>COUNTIF('任务清单'!E3:E54,"阻塞")</x:f>
        <x:v>0</x:v>
      </x:c>
      <x:c r="D8" s="16" t="str">
        <x:v>确认 10 个典型问题</x:v>
      </x:c>
      <x:c r="E8" s="16" t="str">
        <x:v>你</x:v>
      </x:c>
      <x:c r="F8" s="16" t="str">
        <x:v>无</x:v>
      </x:c>
      <x:c r="G8" s="16" t="str">
        <x:v>2026-06-18</x:v>
      </x:c>
      <x:c r="H8" s="16" t="str">
        <x:v>未开始</x:v>
      </x:c>
    </x:row>
    <x:row r="9">
      <x:c r="A9" s="25" t="str">
        <x:v>你负责任务</x:v>
      </x:c>
      <x:c r="B9" s="30" t="n">
        <x:f>COUNTIF('任务清单'!D3:D54,"你")</x:f>
        <x:v>20</x:v>
      </x:c>
      <x:c r="D9" s="16" t="str">
        <x:v>输出 MVP 页面结构 PRD</x:v>
      </x:c>
      <x:c r="E9" s="16" t="str">
        <x:v>我</x:v>
      </x:c>
      <x:c r="F9" s="16" t="str">
        <x:v>T010</x:v>
      </x:c>
      <x:c r="G9" s="16" t="str">
        <x:v>2026-06-19</x:v>
      </x:c>
      <x:c r="H9" s="16" t="str">
        <x:v>未开始</x:v>
      </x:c>
    </x:row>
    <x:row r="10">
      <x:c r="A10" s="25" t="str">
        <x:v>我负责任务</x:v>
      </x:c>
      <x:c r="B10" s="30" t="n">
        <x:f>COUNTIF('任务清单'!D3:D54,"我")</x:f>
        <x:v>30</x:v>
      </x:c>
      <x:c r="D10" s="16" t="str">
        <x:v>测试 10 个 Prompt 样例</x:v>
      </x:c>
      <x:c r="E10" s="16" t="str">
        <x:v>我</x:v>
      </x:c>
      <x:c r="F10" s="16" t="str">
        <x:v>T015</x:v>
      </x:c>
      <x:c r="G10" s="16" t="str">
        <x:v>2026-06-20</x:v>
      </x:c>
      <x:c r="H10" s="16" t="str">
        <x:v>未开始</x:v>
      </x:c>
    </x:row>
    <x:row r="11">
      <x:c r="D11" s="16" t="str">
        <x:v>创建项目脚手架与部署预览</x:v>
      </x:c>
      <x:c r="E11" s="16" t="str">
        <x:v>我</x:v>
      </x:c>
      <x:c r="F11" s="16" t="str">
        <x:v>T007</x:v>
      </x:c>
      <x:c r="G11" s="16" t="str">
        <x:v>2026-06-21</x:v>
      </x:c>
      <x:c r="H11" s="16" t="str">
        <x:v>未开始</x:v>
      </x:c>
    </x:row>
    <x:row r="13">
      <x:c r="A13" s="11" t="str">
        <x:v>阶段</x:v>
      </x:c>
      <x:c r="B13" s="11" t="str">
        <x:v>时间</x:v>
      </x:c>
      <x:c r="C13" s="11" t="str">
        <x:v>目标</x:v>
      </x:c>
      <x:c r="D13" s="11" t="str">
        <x:v>主要交付物</x:v>
      </x:c>
      <x:c r="E13" s="11" t="str">
        <x:v>你重点负责</x:v>
      </x:c>
      <x:c r="F13" s="11" t="str">
        <x:v>我重点负责</x:v>
      </x:c>
      <x:c r="G13" s="11" t="str">
        <x:v>完成判断</x:v>
      </x:c>
      <x:c r="H13" s="11" t="str">
        <x:v>风险</x:v>
      </x:c>
    </x:row>
    <x:row r="14">
      <x:c r="A14" s="16" t="str">
        <x:v>Phase 0 基建</x:v>
      </x:c>
      <x:c r="B14" s="16" t="str">
        <x:v>2026-06-15 至 2026-06-21</x:v>
      </x:c>
      <x:c r="C14" s="16" t="str">
        <x:v>海外桌面、域名、账号、资料体系</x:v>
      </x:c>
      <x:c r="D14" s="16" t="str">
        <x:v>可远程操作的中文桌面+域名+项目邮箱</x:v>
      </x:c>
      <x:c r="E14" s="16" t="str">
        <x:v>服务器/域名/邮箱/资料</x:v>
      </x:c>
      <x:c r="F14" s="16" t="str">
        <x:v>环境配置/清单模板</x:v>
      </x:c>
      <x:c r="G14" s="16" t="str">
        <x:v>T001-T009 完成</x:v>
      </x:c>
      <x:c r="H14" s="16" t="str">
        <x:v>支付账号风控</x:v>
      </x:c>
    </x:row>
    <x:row r="15">
      <x:c r="A15" s="16" t="str">
        <x:v>Phase 1 验证</x:v>
      </x:c>
      <x:c r="B15" s="16" t="str">
        <x:v>2026-06-18 至 2026-06-30</x:v>
      </x:c>
      <x:c r="C15" s="16" t="str">
        <x:v>内容、视觉、社媒方向验证</x:v>
      </x:c>
      <x:c r="D15" s="16" t="str">
        <x:v>10 个 Prompt 样例+6 条短视频数据</x:v>
      </x:c>
      <x:c r="E15" s="16" t="str">
        <x:v>审核内容/发布视频</x:v>
      </x:c>
      <x:c r="F15" s="16" t="str">
        <x:v>Prompt/脚本/复盘</x:v>
      </x:c>
      <x:c r="G15" s="16" t="str">
        <x:v>T014-T020/T037-T041 完成</x:v>
      </x:c>
      <x:c r="H15" s="16" t="str">
        <x:v>内容空泛或自然流量弱</x:v>
      </x:c>
    </x:row>
    <x:row r="16">
      <x:c r="A16" s="16" t="str">
        <x:v>Phase 2 MVP</x:v>
      </x:c>
      <x:c r="B16" s="16" t="str">
        <x:v>2026-06-19 至 2026-07-05</x:v>
      </x:c>
      <x:c r="C16" s="16" t="str">
        <x:v>首页、摇卦、结果、AI、支付</x:v>
      </x:c>
      <x:c r="D16" s="16" t="str">
        <x:v>线上 Alpha 版</x:v>
      </x:c>
      <x:c r="E16" s="16" t="str">
        <x:v>支付主体认证/体验测试</x:v>
      </x:c>
      <x:c r="F16" s="16" t="str">
        <x:v>开发/部署/接支付</x:v>
      </x:c>
      <x:c r="G16" s="16" t="str">
        <x:v>T021-T036 完成</x:v>
      </x:c>
      <x:c r="H16" s="16" t="str">
        <x:v>支付审核慢</x:v>
      </x:c>
    </x:row>
    <x:row r="17">
      <x:c r="A17" s="16" t="str">
        <x:v>Phase 3 上线</x:v>
      </x:c>
      <x:c r="B17" s="16" t="str">
        <x:v>2026-07-05 至 2026-07-17</x:v>
      </x:c>
      <x:c r="C17" s="16" t="str">
        <x:v>移动端内测、上线、问题修复</x:v>
      </x:c>
      <x:c r="D17" s="16" t="str">
        <x:v>正式上线网站+首批数据</x:v>
      </x:c>
      <x:c r="E17" s="16" t="str">
        <x:v>验收/反馈</x:v>
      </x:c>
      <x:c r="F17" s="16" t="str">
        <x:v>修复/性能/复盘</x:v>
      </x:c>
      <x:c r="G17" s="16" t="str">
        <x:v>T046-T048 完成</x:v>
      </x:c>
      <x:c r="H17" s="16" t="str">
        <x:v>移动端性能和转化</x:v>
      </x:c>
    </x:row>
    <x:row r="18">
      <x:c r="A18" s="16" t="str">
        <x:v>Phase 4 增长</x:v>
      </x:c>
      <x:c r="B18" s="16" t="str">
        <x:v>2026-07-11 至 2026-07-24</x:v>
      </x:c>
      <x:c r="C18" s="16" t="str">
        <x:v>补内容、分享、KOL</x:v>
      </x:c>
      <x:c r="D18" s="16" t="str">
        <x:v>64 卦内容库+分享卡+KOL 表</x:v>
      </x:c>
      <x:c r="E18" s="16" t="str">
        <x:v>KOL候选/联系</x:v>
      </x:c>
      <x:c r="F18" s="16" t="str">
        <x:v>内容库/追踪表</x:v>
      </x:c>
      <x:c r="G18" s="16" t="str">
        <x:v>T049-T052 完成</x:v>
      </x:c>
      <x:c r="H18" s="16" t="str">
        <x:v>获客成本不明</x:v>
      </x:c>
    </x:row>
  </x:sheetData>
  <x:mergeCells>
    <x:mergeCell ref="A1:H1"/>
  </x:mergeCells>
  <x:conditionalFormatting sqref="H4:H11">
    <x:cfRule type="containsText" dxfId="3" priority="1" operator="containsText" text="进行中"/>
  </x:conditionalFormatting>
  <x:pageMargins left="0.7" right="0.7" top="0.75" bottom="0.75" header="0.3" footer="0.3"/>
  <x:drawing xmlns:r="http://schemas.openxmlformats.org/officeDocument/2006/relationships" r:id="R765c07daba9c475f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.670000076293945" hidden="0" customWidth="1"/>
    <x:col min="3" max="3" width="28.889999389648438" hidden="0" customWidth="1"/>
    <x:col min="4" max="4" width="7.78000020980835" hidden="0" customWidth="1"/>
    <x:col min="5" max="5" width="9.109999656677246" hidden="0" customWidth="1"/>
    <x:col min="6" max="6" width="10.220000267028809" hidden="0" customWidth="1"/>
    <x:col min="7" max="7" width="10.220000267028809" hidden="0" customWidth="1"/>
    <x:col min="8" max="8" width="11.670000076293945" hidden="0" customWidth="1"/>
    <x:col min="9" max="9" width="33.33000183105469" hidden="0" customWidth="1"/>
    <x:col min="10" max="10" width="11.109999656677246" hidden="0" customWidth="1"/>
    <x:col min="11" max="11" width="28.889999389648438" hidden="0" customWidth="1"/>
  </x:cols>
  <x:sheetData>
    <x:row r="1" ht="31.5" customHeight="1">
      <x:c r="A1" s="31" t="str">
        <x:v>任务清单（更新状态列即可标注完成）</x:v>
      </x:c>
      <x:c r="B1" s="31" t="str"/>
      <x:c r="C1" s="31" t="str"/>
      <x:c r="D1" s="31" t="str"/>
      <x:c r="E1" s="31" t="str"/>
      <x:c r="F1" s="31" t="str"/>
      <x:c r="G1" s="31" t="str"/>
      <x:c r="H1" s="31" t="str"/>
      <x:c r="I1" s="31" t="str"/>
      <x:c r="J1" s="31" t="str"/>
      <x:c r="K1" s="31" t="str"/>
    </x:row>
    <x:row r="2" ht="26.399999618530273" hidden="0" customHeight="1">
      <x:c r="A2" s="11" t="str">
        <x:v>任务ID</x:v>
      </x:c>
      <x:c r="B2" s="11" t="str">
        <x:v>阶段</x:v>
      </x:c>
      <x:c r="C2" s="11" t="str">
        <x:v>任务</x:v>
      </x:c>
      <x:c r="D2" s="11" t="str">
        <x:v>负责人</x:v>
      </x:c>
      <x:c r="E2" s="11" t="str">
        <x:v>状态</x:v>
      </x:c>
      <x:c r="F2" s="11" t="str">
        <x:v>开始日期</x:v>
      </x:c>
      <x:c r="G2" s="11" t="str">
        <x:v>截止日期</x:v>
      </x:c>
      <x:c r="H2" s="11" t="str">
        <x:v>前置任务ID</x:v>
      </x:c>
      <x:c r="I2" s="11" t="str">
        <x:v>依赖说明/阻塞关系</x:v>
      </x:c>
      <x:c r="J2" s="11" t="str">
        <x:v>交付物</x:v>
      </x:c>
      <x:c r="K2" s="11" t="str">
        <x:v>备注</x:v>
      </x:c>
    </x:row>
    <x:row r="3" ht="108" hidden="0" customHeight="1">
      <x:c r="A3" s="16" t="str">
        <x:v>T001</x:v>
      </x:c>
      <x:c r="B3" s="16" t="str">
        <x:v>基建</x:v>
      </x:c>
      <x:c r="C3" s="16" t="str">
        <x:v>购买海外运营桌面服务器</x:v>
      </x:c>
      <x:c r="D3" s="16" t="str">
        <x:v>你</x:v>
      </x:c>
      <x:c r="E3" s="16" t="str">
        <x:v>已完成</x:v>
      </x:c>
      <x:c r="F3" s="16" t="str">
        <x:v>2026-06-15</x:v>
      </x:c>
      <x:c r="G3" s="16" t="str">
        <x:v>2026-06-16</x:v>
      </x:c>
      <x:c r="H3" s="16" t="str">
        <x:v>无</x:v>
      </x:c>
      <x:c r="I3" s="16" t="str">
        <x:v>我配置服务器、浏览器、语言环境、资料同步的前提</x:v>
      </x:c>
      <x:c r="J3" s="16" t="str">
        <x:v>采购确认</x:v>
      </x:c>
      <x:c r="K3" s="16" t="str">
        <x:v>2026-06-16 已创建 Cloudzy Windows Server 2022 VPS，不在表格保存凭据</x:v>
      </x:c>
    </x:row>
    <x:row r="4" ht="48" hidden="0" customHeight="1">
      <x:c r="A4" s="16" t="str">
        <x:v>T002</x:v>
      </x:c>
      <x:c r="B4" s="16" t="str">
        <x:v>基建</x:v>
      </x:c>
      <x:c r="C4" s="16" t="str">
        <x:v>确认服务器区域：美国优先，备选欧洲</x:v>
      </x:c>
      <x:c r="D4" s="16" t="str">
        <x:v>你</x:v>
      </x:c>
      <x:c r="E4" s="16" t="str">
        <x:v>已完成</x:v>
      </x:c>
      <x:c r="F4" s="16" t="str">
        <x:v>2026-06-15</x:v>
      </x:c>
      <x:c r="G4" s="16" t="str">
        <x:v>2026-06-16</x:v>
      </x:c>
      <x:c r="H4" s="16" t="str">
        <x:v>T001</x:v>
      </x:c>
      <x:c r="I4" s="16" t="str">
        <x:v>我进行广告/支付后台登录安全配置的前提</x:v>
      </x:c>
      <x:c r="J4" s="16" t="str">
        <x:v>采购确认</x:v>
      </x:c>
      <x:c r="K4" s="16" t="str">
        <x:v>已选美国洛杉矶</x:v>
      </x:c>
    </x:row>
    <x:row r="5" ht="96" hidden="0" customHeight="1">
      <x:c r="A5" s="16" t="str">
        <x:v>T003</x:v>
      </x:c>
      <x:c r="B5" s="16" t="str">
        <x:v>基建</x:v>
      </x:c>
      <x:c r="C5" s="16" t="str">
        <x:v>提供远程桌面登录信息和云平台控制台登录方式</x:v>
      </x:c>
      <x:c r="D5" s="16" t="str">
        <x:v>你</x:v>
      </x:c>
      <x:c r="E5" s="16" t="str">
        <x:v>已完成</x:v>
      </x:c>
      <x:c r="F5" s="16" t="str">
        <x:v>2026-06-16</x:v>
      </x:c>
      <x:c r="G5" s="16" t="str">
        <x:v>2026-06-16</x:v>
      </x:c>
      <x:c r="H5" s="16" t="str">
        <x:v>T001</x:v>
      </x:c>
      <x:c r="I5" s="16" t="str">
        <x:v>我远程配置桌面环境的前提</x:v>
      </x:c>
      <x:c r="J5" s="16" t="str">
        <x:v>访问权限</x:v>
      </x:c>
      <x:c r="K5" s="16" t="str">
        <x:v>已通过截图提供 IP/用户名/密码；端口默认按 3389 检查，凭据不写入文件</x:v>
      </x:c>
    </x:row>
    <x:row r="6" ht="72" hidden="0" customHeight="1">
      <x:c r="A6" s="16" t="str">
        <x:v>T004</x:v>
      </x:c>
      <x:c r="B6" s="16" t="str">
        <x:v>基建</x:v>
      </x:c>
      <x:c r="C6" s="16" t="str">
        <x:v>配置中文桌面、时区、浏览器、输入法、密码管理器</x:v>
      </x:c>
      <x:c r="D6" s="16" t="str">
        <x:v>我</x:v>
      </x:c>
      <x:c r="E6" s="16" t="str">
        <x:v>已完成</x:v>
      </x:c>
      <x:c r="F6" s="16" t="str">
        <x:v>2026-06-16</x:v>
      </x:c>
      <x:c r="G6" s="16" t="str">
        <x:v>2026-06-17</x:v>
      </x:c>
      <x:c r="H6" s="16" t="str">
        <x:v>T003</x:v>
      </x:c>
      <x:c r="I6" s="16" t="str">
        <x:v>你后续在服务器上操作账号和素材的前提</x:v>
      </x:c>
      <x:c r="J6" s="16" t="str">
        <x:v>环境配置</x:v>
      </x:c>
      <x:c r="K6" s="16" t="str">
        <x:v>服务器环境已配置完成，可进入品牌/域名/账号/支付资料准备阶段</x:v>
      </x:c>
    </x:row>
    <x:row r="7" ht="60" hidden="0" customHeight="1">
      <x:c r="A7" s="16" t="str">
        <x:v>T005</x:v>
      </x:c>
      <x:c r="B7" s="16" t="str">
        <x:v>基建</x:v>
      </x:c>
      <x:c r="C7" s="16" t="str">
        <x:v>建立项目资料同步文件夹和账号资料清单模板</x:v>
      </x:c>
      <x:c r="D7" s="16" t="str">
        <x:v>我</x:v>
      </x:c>
      <x:c r="E7" s="16" t="str">
        <x:v>未开始</x:v>
      </x:c>
      <x:c r="F7" s="16" t="str">
        <x:v>2026-06-17</x:v>
      </x:c>
      <x:c r="G7" s="16" t="str">
        <x:v>2026-06-17</x:v>
      </x:c>
      <x:c r="H7" s="16" t="str">
        <x:v>T003</x:v>
      </x:c>
      <x:c r="I7" s="16" t="str">
        <x:v>你填写海外账号资料的前提</x:v>
      </x:c>
      <x:c r="J7" s="16" t="str">
        <x:v>资料管理</x:v>
      </x:c>
      <x:c r="K7" s="16" t="str">
        <x:v>不保存明文密码，只保存账号用途、绑定邮箱、2FA方式</x:v>
      </x:c>
    </x:row>
    <x:row r="8" ht="84" hidden="0" customHeight="1">
      <x:c r="A8" s="16" t="str">
        <x:v>T006</x:v>
      </x:c>
      <x:c r="B8" s="16" t="str">
        <x:v>基建</x:v>
      </x:c>
      <x:c r="C8" s="16" t="str">
        <x:v>注册/确认域名与品牌英文名</x:v>
      </x:c>
      <x:c r="D8" s="16" t="str">
        <x:v>你</x:v>
      </x:c>
      <x:c r="E8" s="16" t="str">
        <x:v>未开始</x:v>
      </x:c>
      <x:c r="F8" s="16" t="str">
        <x:v>2026-06-15</x:v>
      </x:c>
      <x:c r="G8" s="16" t="str">
        <x:v>2026-06-18</x:v>
      </x:c>
      <x:c r="H8" s="16" t="str">
        <x:v>无</x:v>
      </x:c>
      <x:c r="I8" s="16" t="str">
        <x:v>我配置网站部署、邮箱、SEO、支付回调域名的前提</x:v>
      </x:c>
      <x:c r="J8" s="16" t="str">
        <x:v>品牌资产</x:v>
      </x:c>
      <x:c r="K8" s="16" t="str">
        <x:v>候选方向：Natural Revelations / Universal Flow / I Ching Portal</x:v>
      </x:c>
    </x:row>
    <x:row r="9" ht="72" hidden="0" customHeight="1">
      <x:c r="A9" s="16" t="str">
        <x:v>T007</x:v>
      </x:c>
      <x:c r="B9" s="16" t="str">
        <x:v>基建</x:v>
      </x:c>
      <x:c r="C9" s="16" t="str">
        <x:v>购买或指定域名 DNS 管理权限</x:v>
      </x:c>
      <x:c r="D9" s="16" t="str">
        <x:v>你</x:v>
      </x:c>
      <x:c r="E9" s="16" t="str">
        <x:v>未开始</x:v>
      </x:c>
      <x:c r="F9" s="16" t="str">
        <x:v>2026-06-18</x:v>
      </x:c>
      <x:c r="G9" s="16" t="str">
        <x:v>2026-06-19</x:v>
      </x:c>
      <x:c r="H9" s="16" t="str">
        <x:v>T006</x:v>
      </x:c>
      <x:c r="I9" s="16" t="str">
        <x:v>我配置 Vercel/Cloudflare/Supabase/Stripe 回调的前提</x:v>
      </x:c>
      <x:c r="J9" s="16" t="str">
        <x:v>域名权限</x:v>
      </x:c>
      <x:c r="K9" s="16" t="str">
        <x:v>域名建议在 Namecheap/Cloudflare/Spaceship 等平台注册</x:v>
      </x:c>
    </x:row>
    <x:row r="10" ht="60" hidden="0" customHeight="1">
      <x:c r="A10" s="16" t="str">
        <x:v>T008</x:v>
      </x:c>
      <x:c r="B10" s="16" t="str">
        <x:v>基建</x:v>
      </x:c>
      <x:c r="C10" s="16" t="str">
        <x:v>建立项目账号邮箱</x:v>
      </x:c>
      <x:c r="D10" s="16" t="str">
        <x:v>你</x:v>
      </x:c>
      <x:c r="E10" s="16" t="str">
        <x:v>未开始</x:v>
      </x:c>
      <x:c r="F10" s="16" t="str">
        <x:v>2026-06-18</x:v>
      </x:c>
      <x:c r="G10" s="16" t="str">
        <x:v>2026-06-19</x:v>
      </x:c>
      <x:c r="H10" s="16" t="str">
        <x:v>T006</x:v>
      </x:c>
      <x:c r="I10" s="16" t="str">
        <x:v>我创建 Vercel/Supabase/Stripe/社媒账号的前提</x:v>
      </x:c>
      <x:c r="J10" s="16" t="str">
        <x:v>账号体系</x:v>
      </x:c>
      <x:c r="K10" s="16" t="str">
        <x:v>建议 Gmail 或 Google Workspace；不要混用个人邮箱</x:v>
      </x:c>
    </x:row>
    <x:row r="11" ht="72" hidden="0" customHeight="1">
      <x:c r="A11" s="16" t="str">
        <x:v>T009</x:v>
      </x:c>
      <x:c r="B11" s="16" t="str">
        <x:v>基建</x:v>
      </x:c>
      <x:c r="C11" s="16" t="str">
        <x:v>整理公司/个人主体资料用于支付审核</x:v>
      </x:c>
      <x:c r="D11" s="16" t="str">
        <x:v>你</x:v>
      </x:c>
      <x:c r="E11" s="16" t="str">
        <x:v>未开始</x:v>
      </x:c>
      <x:c r="F11" s="16" t="str">
        <x:v>2026-06-18</x:v>
      </x:c>
      <x:c r="G11" s="16" t="str">
        <x:v>2026-06-22</x:v>
      </x:c>
      <x:c r="H11" s="16" t="str">
        <x:v>T008</x:v>
      </x:c>
      <x:c r="I11" s="16" t="str">
        <x:v>我准备 Stripe/PayPal/Lemon Squeezy 资料清单的前提</x:v>
      </x:c>
      <x:c r="J11" s="16" t="str">
        <x:v>支付合规</x:v>
      </x:c>
      <x:c r="K11" s="16" t="str">
        <x:v>证件、地址、银行、网站政策页需要一致</x:v>
      </x:c>
    </x:row>
    <x:row r="12" ht="72" hidden="0" customHeight="1">
      <x:c r="A12" s="16" t="str">
        <x:v>T010</x:v>
      </x:c>
      <x:c r="B12" s="16" t="str">
        <x:v>产品</x:v>
      </x:c>
      <x:c r="C12" s="16" t="str">
        <x:v>确认首发产品范围：First Cast Free + $4.99 深度解读</x:v>
      </x:c>
      <x:c r="D12" s="16" t="str">
        <x:v>你</x:v>
      </x:c>
      <x:c r="E12" s="16" t="str">
        <x:v>未开始</x:v>
      </x:c>
      <x:c r="F12" s="16" t="str">
        <x:v>2026-06-17</x:v>
      </x:c>
      <x:c r="G12" s="16" t="str">
        <x:v>2026-06-18</x:v>
      </x:c>
      <x:c r="H12" s="16" t="str">
        <x:v>无</x:v>
      </x:c>
      <x:c r="I12" s="16" t="str">
        <x:v>我拆分产品 PRD 和付费墙逻辑的前提</x:v>
      </x:c>
      <x:c r="J12" s="16" t="str">
        <x:v>产品决策</x:v>
      </x:c>
      <x:c r="K12" s="16" t="str">
        <x:v>避免首屏强付费，先给基础解读建立信任</x:v>
      </x:c>
    </x:row>
    <x:row r="13" ht="60" hidden="0" customHeight="1">
      <x:c r="A13" s="16" t="str">
        <x:v>T011</x:v>
      </x:c>
      <x:c r="B13" s="16" t="str">
        <x:v>产品</x:v>
      </x:c>
      <x:c r="C13" s="16" t="str">
        <x:v>输出 MVP 页面结构和用户路径 PRD</x:v>
      </x:c>
      <x:c r="D13" s="16" t="str">
        <x:v>我</x:v>
      </x:c>
      <x:c r="E13" s="16" t="str">
        <x:v>未开始</x:v>
      </x:c>
      <x:c r="F13" s="16" t="str">
        <x:v>2026-06-18</x:v>
      </x:c>
      <x:c r="G13" s="16" t="str">
        <x:v>2026-06-19</x:v>
      </x:c>
      <x:c r="H13" s="16" t="str">
        <x:v>T010</x:v>
      </x:c>
      <x:c r="I13" s="16" t="str">
        <x:v>我后续开发页面的前提</x:v>
      </x:c>
      <x:c r="J13" s="16" t="str">
        <x:v>产品文档</x:v>
      </x:c>
      <x:c r="K13" s="16" t="str">
        <x:v>首页、摇卦、问题输入、结果页、付费墙、分享页</x:v>
      </x:c>
    </x:row>
    <x:row r="14" ht="48" hidden="0" customHeight="1">
      <x:c r="A14" s="16" t="str">
        <x:v>T012</x:v>
      </x:c>
      <x:c r="B14" s="16" t="str">
        <x:v>视觉</x:v>
      </x:c>
      <x:c r="C14" s="16" t="str">
        <x:v>确认主视觉方向：深空蓝+宇宙金+烟雾灰</x:v>
      </x:c>
      <x:c r="D14" s="16" t="str">
        <x:v>你</x:v>
      </x:c>
      <x:c r="E14" s="16" t="str">
        <x:v>未开始</x:v>
      </x:c>
      <x:c r="F14" s="16" t="str">
        <x:v>2026-06-17</x:v>
      </x:c>
      <x:c r="G14" s="16" t="str">
        <x:v>2026-06-18</x:v>
      </x:c>
      <x:c r="H14" s="16" t="str">
        <x:v>无</x:v>
      </x:c>
      <x:c r="I14" s="16" t="str">
        <x:v>我统一 UI 样式和素材输出的前提</x:v>
      </x:c>
      <x:c r="J14" s="16" t="str">
        <x:v>设计确认</x:v>
      </x:c>
      <x:c r="K14" s="16" t="str">
        <x:v>现有方案已建议转向静谧神性</x:v>
      </x:c>
    </x:row>
    <x:row r="15" ht="60" hidden="0" customHeight="1">
      <x:c r="A15" s="16" t="str">
        <x:v>T013</x:v>
      </x:c>
      <x:c r="B15" s="16" t="str">
        <x:v>视觉</x:v>
      </x:c>
      <x:c r="C15" s="16" t="str">
        <x:v>整理 3D 龟壳资产与网页原型</x:v>
      </x:c>
      <x:c r="D15" s="16" t="str">
        <x:v>我</x:v>
      </x:c>
      <x:c r="E15" s="16" t="str">
        <x:v>已完成</x:v>
      </x:c>
      <x:c r="F15" s="16" t="str">
        <x:v>2026-06-15</x:v>
      </x:c>
      <x:c r="G15" s="16" t="str">
        <x:v>2026-06-15</x:v>
      </x:c>
      <x:c r="H15" s="16" t="str">
        <x:v>无</x:v>
      </x:c>
      <x:c r="I15" s="16" t="str">
        <x:v>后续开发动效可直接复用</x:v>
      </x:c>
      <x:c r="J15" s="16" t="str">
        <x:v>资产确认</x:v>
      </x:c>
      <x:c r="K15" s="16" t="str">
        <x:v>现有 assets/IChing_Shell_Tripo.glb 已在文件夹</x:v>
      </x:c>
    </x:row>
    <x:row r="16" ht="72" hidden="0" customHeight="1">
      <x:c r="A16" s="16" t="str">
        <x:v>T014</x:v>
      </x:c>
      <x:c r="B16" s="16" t="str">
        <x:v>视觉</x:v>
      </x:c>
      <x:c r="C16" s="16" t="str">
        <x:v>生成首批社媒视觉素材脚本：3D 龟壳、仪式感、用户痛点</x:v>
      </x:c>
      <x:c r="D16" s="16" t="str">
        <x:v>我</x:v>
      </x:c>
      <x:c r="E16" s="16" t="str">
        <x:v>未开始</x:v>
      </x:c>
      <x:c r="F16" s="16" t="str">
        <x:v>2026-06-19</x:v>
      </x:c>
      <x:c r="G16" s="16" t="str">
        <x:v>2026-06-21</x:v>
      </x:c>
      <x:c r="H16" s="16" t="str">
        <x:v>T012</x:v>
      </x:c>
      <x:c r="I16" s="16" t="str">
        <x:v>你拍摄/发布或我制作视频的前提</x:v>
      </x:c>
      <x:c r="J16" s="16" t="str">
        <x:v>内容脚本</x:v>
      </x:c>
      <x:c r="K16" s="16" t="str">
        <x:v>每条 15-30 秒，先做 6 条</x:v>
      </x:c>
    </x:row>
    <x:row r="17" ht="48" hidden="0" customHeight="1">
      <x:c r="A17" s="16" t="str">
        <x:v>T015</x:v>
      </x:c>
      <x:c r="B17" s="16" t="str">
        <x:v>内容</x:v>
      </x:c>
      <x:c r="C17" s="16" t="str">
        <x:v>确认 10 个典型用户问题</x:v>
      </x:c>
      <x:c r="D17" s="16" t="str">
        <x:v>你</x:v>
      </x:c>
      <x:c r="E17" s="16" t="str">
        <x:v>未开始</x:v>
      </x:c>
      <x:c r="F17" s="16" t="str">
        <x:v>2026-06-17</x:v>
      </x:c>
      <x:c r="G17" s="16" t="str">
        <x:v>2026-06-18</x:v>
      </x:c>
      <x:c r="H17" s="16" t="str">
        <x:v>无</x:v>
      </x:c>
      <x:c r="I17" s="16" t="str">
        <x:v>我测试 AI Prompt 质量的前提</x:v>
      </x:c>
      <x:c r="J17" s="16" t="str">
        <x:v>内容输入</x:v>
      </x:c>
      <x:c r="K17" s="16" t="str">
        <x:v>职业、爱情、焦虑、关系、决策、金钱等</x:v>
      </x:c>
    </x:row>
    <x:row r="18" ht="60" hidden="0" customHeight="1">
      <x:c r="A18" s="16" t="str">
        <x:v>T016</x:v>
      </x:c>
      <x:c r="B18" s="16" t="str">
        <x:v>内容</x:v>
      </x:c>
      <x:c r="C18" s="16" t="str">
        <x:v>撰写并测试 10 个问题的 AI 解读 Prompt</x:v>
      </x:c>
      <x:c r="D18" s="16" t="str">
        <x:v>我</x:v>
      </x:c>
      <x:c r="E18" s="16" t="str">
        <x:v>未开始</x:v>
      </x:c>
      <x:c r="F18" s="16" t="str">
        <x:v>2026-06-18</x:v>
      </x:c>
      <x:c r="G18" s="16" t="str">
        <x:v>2026-06-20</x:v>
      </x:c>
      <x:c r="H18" s="16" t="str">
        <x:v>T015</x:v>
      </x:c>
      <x:c r="I18" s="16" t="str">
        <x:v>你判断内容是否有付费价值的前提</x:v>
      </x:c>
      <x:c r="J18" s="16" t="str">
        <x:v>Prompt</x:v>
      </x:c>
      <x:c r="K18" s="16" t="str">
        <x:v>输出 The Energy / The Insight / The Ritual</x:v>
      </x:c>
    </x:row>
    <x:row r="19" ht="48" hidden="0" customHeight="1">
      <x:c r="A19" s="16" t="str">
        <x:v>T017</x:v>
      </x:c>
      <x:c r="B19" s="16" t="str">
        <x:v>内容</x:v>
      </x:c>
      <x:c r="C19" s="16" t="str">
        <x:v>你审核 10 个 AI 解读样例</x:v>
      </x:c>
      <x:c r="D19" s="16" t="str">
        <x:v>你</x:v>
      </x:c>
      <x:c r="E19" s="16" t="str">
        <x:v>未开始</x:v>
      </x:c>
      <x:c r="F19" s="16" t="str">
        <x:v>2026-06-20</x:v>
      </x:c>
      <x:c r="G19" s="16" t="str">
        <x:v>2026-06-21</x:v>
      </x:c>
      <x:c r="H19" s="16" t="str">
        <x:v>T016</x:v>
      </x:c>
      <x:c r="I19" s="16" t="str">
        <x:v>我批量生成 64 卦内容库的前提</x:v>
      </x:c>
      <x:c r="J19" s="16" t="str">
        <x:v>内容审核</x:v>
      </x:c>
      <x:c r="K19" s="16" t="str">
        <x:v>重点看是否像欧美身心灵语言，是否不空泛</x:v>
      </x:c>
    </x:row>
    <x:row r="20" ht="60" hidden="0" customHeight="1">
      <x:c r="A20" s="16" t="str">
        <x:v>T018</x:v>
      </x:c>
      <x:c r="B20" s="16" t="str">
        <x:v>内容</x:v>
      </x:c>
      <x:c r="C20" s="16" t="str">
        <x:v>搭建 64 卦内容字段结构</x:v>
      </x:c>
      <x:c r="D20" s="16" t="str">
        <x:v>我</x:v>
      </x:c>
      <x:c r="E20" s="16" t="str">
        <x:v>未开始</x:v>
      </x:c>
      <x:c r="F20" s="16" t="str">
        <x:v>2026-06-21</x:v>
      </x:c>
      <x:c r="G20" s="16" t="str">
        <x:v>2026-06-22</x:v>
      </x:c>
      <x:c r="H20" s="16" t="str">
        <x:v>T017</x:v>
      </x:c>
      <x:c r="I20" s="16" t="str">
        <x:v>我生成内容库、数据库表设计的前提</x:v>
      </x:c>
      <x:c r="J20" s="16" t="str">
        <x:v>数据结构</x:v>
      </x:c>
      <x:c r="K20" s="16" t="str">
        <x:v>卦名、能量名、心理诊断、行动建议、付费扩展</x:v>
      </x:c>
    </x:row>
    <x:row r="21" ht="48" hidden="0" customHeight="1">
      <x:c r="A21" s="16" t="str">
        <x:v>T019</x:v>
      </x:c>
      <x:c r="B21" s="16" t="str">
        <x:v>内容</x:v>
      </x:c>
      <x:c r="C21" s="16" t="str">
        <x:v>生成首批 20 卦中英双语内容</x:v>
      </x:c>
      <x:c r="D21" s="16" t="str">
        <x:v>我</x:v>
      </x:c>
      <x:c r="E21" s="16" t="str">
        <x:v>未开始</x:v>
      </x:c>
      <x:c r="F21" s="16" t="str">
        <x:v>2026-06-22</x:v>
      </x:c>
      <x:c r="G21" s="16" t="str">
        <x:v>2026-06-26</x:v>
      </x:c>
      <x:c r="H21" s="16" t="str">
        <x:v>T018</x:v>
      </x:c>
      <x:c r="I21" s="16" t="str">
        <x:v>MVP 内容上线的前提</x:v>
      </x:c>
      <x:c r="J21" s="16" t="str">
        <x:v>内容库</x:v>
      </x:c>
      <x:c r="K21" s="16" t="str">
        <x:v>先覆盖常见问题与 SEO 入口</x:v>
      </x:c>
    </x:row>
    <x:row r="22" ht="48" hidden="0" customHeight="1">
      <x:c r="A22" s="16" t="str">
        <x:v>T020</x:v>
      </x:c>
      <x:c r="B22" s="16" t="str">
        <x:v>内容</x:v>
      </x:c>
      <x:c r="C22" s="16" t="str">
        <x:v>抽检首批 20 卦并标注修改意见</x:v>
      </x:c>
      <x:c r="D22" s="16" t="str">
        <x:v>你</x:v>
      </x:c>
      <x:c r="E22" s="16" t="str">
        <x:v>未开始</x:v>
      </x:c>
      <x:c r="F22" s="16" t="str">
        <x:v>2026-06-26</x:v>
      </x:c>
      <x:c r="G22" s="16" t="str">
        <x:v>2026-06-28</x:v>
      </x:c>
      <x:c r="H22" s="16" t="str">
        <x:v>T019</x:v>
      </x:c>
      <x:c r="I22" s="16" t="str">
        <x:v>我批量扩展剩余 44 卦的前提</x:v>
      </x:c>
      <x:c r="J22" s="16" t="str">
        <x:v>内容审核</x:v>
      </x:c>
      <x:c r="K22" s="16" t="str">
        <x:v>每卦只需标：通过/重写/语气调整</x:v>
      </x:c>
    </x:row>
    <x:row r="23" ht="48" hidden="0" customHeight="1">
      <x:c r="A23" s="16" t="str">
        <x:v>T021</x:v>
      </x:c>
      <x:c r="B23" s="16" t="str">
        <x:v>开发</x:v>
      </x:c>
      <x:c r="C23" s="16" t="str">
        <x:v>创建 Next.js 项目脚手架</x:v>
      </x:c>
      <x:c r="D23" s="16" t="str">
        <x:v>我</x:v>
      </x:c>
      <x:c r="E23" s="16" t="str">
        <x:v>未开始</x:v>
      </x:c>
      <x:c r="F23" s="16" t="str">
        <x:v>2026-06-19</x:v>
      </x:c>
      <x:c r="G23" s="16" t="str">
        <x:v>2026-06-20</x:v>
      </x:c>
      <x:c r="H23" s="16" t="str">
        <x:v>T007</x:v>
      </x:c>
      <x:c r="I23" s="16" t="str">
        <x:v>前端开发的基础</x:v>
      </x:c>
      <x:c r="J23" s="16" t="str">
        <x:v>代码</x:v>
      </x:c>
      <x:c r="K23" s="16" t="str">
        <x:v>Next.js + Tailwind + React Three Fiber</x:v>
      </x:c>
    </x:row>
    <x:row r="24" ht="48" hidden="0" customHeight="1">
      <x:c r="A24" s="16" t="str">
        <x:v>T022</x:v>
      </x:c>
      <x:c r="B24" s="16" t="str">
        <x:v>开发</x:v>
      </x:c>
      <x:c r="C24" s="16" t="str">
        <x:v>配置 Vercel 项目和预览环境</x:v>
      </x:c>
      <x:c r="D24" s="16" t="str">
        <x:v>我</x:v>
      </x:c>
      <x:c r="E24" s="16" t="str">
        <x:v>未开始</x:v>
      </x:c>
      <x:c r="F24" s="16" t="str">
        <x:v>2026-06-20</x:v>
      </x:c>
      <x:c r="G24" s="16" t="str">
        <x:v>2026-06-21</x:v>
      </x:c>
      <x:c r="H24" s="16" t="str">
        <x:v>T007</x:v>
      </x:c>
      <x:c r="I24" s="16" t="str">
        <x:v>你查看线上预览、我接支付回调的前提</x:v>
      </x:c>
      <x:c r="J24" s="16" t="str">
        <x:v>部署</x:v>
      </x:c>
      <x:c r="K24" s="16" t="str">
        <x:v>生产网站不建议依赖运营桌面 VPS</x:v>
      </x:c>
    </x:row>
    <x:row r="25" ht="60" hidden="0" customHeight="1">
      <x:c r="A25" s="16" t="str">
        <x:v>T023</x:v>
      </x:c>
      <x:c r="B25" s="16" t="str">
        <x:v>开发</x:v>
      </x:c>
      <x:c r="C25" s="16" t="str">
        <x:v>配置 Supabase 项目和基础表</x:v>
      </x:c>
      <x:c r="D25" s="16" t="str">
        <x:v>我</x:v>
      </x:c>
      <x:c r="E25" s="16" t="str">
        <x:v>未开始</x:v>
      </x:c>
      <x:c r="F25" s="16" t="str">
        <x:v>2026-06-21</x:v>
      </x:c>
      <x:c r="G25" s="16" t="str">
        <x:v>2026-06-22</x:v>
      </x:c>
      <x:c r="H25" s="16" t="str">
        <x:v>T008</x:v>
      </x:c>
      <x:c r="I25" s="16" t="str">
        <x:v>存储卦象、用户记录、订单状态的前提</x:v>
      </x:c>
      <x:c r="J25" s="16" t="str">
        <x:v>数据库</x:v>
      </x:c>
      <x:c r="K25" s="16" t="str">
        <x:v>Auth 初期可延后，MVP 先匿名/本地记录</x:v>
      </x:c>
    </x:row>
    <x:row r="26" ht="24" hidden="0" customHeight="1">
      <x:c r="A26" s="16" t="str">
        <x:v>T024</x:v>
      </x:c>
      <x:c r="B26" s="16" t="str">
        <x:v>开发</x:v>
      </x:c>
      <x:c r="C26" s="16" t="str">
        <x:v>实现首页与进入通道</x:v>
      </x:c>
      <x:c r="D26" s="16" t="str">
        <x:v>我</x:v>
      </x:c>
      <x:c r="E26" s="16" t="str">
        <x:v>未开始</x:v>
      </x:c>
      <x:c r="F26" s="16" t="str">
        <x:v>2026-06-22</x:v>
      </x:c>
      <x:c r="G26" s="16" t="str">
        <x:v>2026-06-24</x:v>
      </x:c>
      <x:c r="H26" s="16" t="str">
        <x:v>T011,T012,T021</x:v>
      </x:c>
      <x:c r="I26" s="16" t="str">
        <x:v>完整摇卦流程的前提</x:v>
      </x:c>
      <x:c r="J26" s="16" t="str">
        <x:v>前端页面</x:v>
      </x:c>
      <x:c r="K26" s="16" t="str">
        <x:v>移动端优先</x:v>
      </x:c>
    </x:row>
    <x:row r="27" ht="48" hidden="0" customHeight="1">
      <x:c r="A27" s="16" t="str">
        <x:v>T025</x:v>
      </x:c>
      <x:c r="B27" s="16" t="str">
        <x:v>开发</x:v>
      </x:c>
      <x:c r="C27" s="16" t="str">
        <x:v>实现摇卦交互：6 次点击/硬币法/动画反馈</x:v>
      </x:c>
      <x:c r="D27" s="16" t="str">
        <x:v>我</x:v>
      </x:c>
      <x:c r="E27" s="16" t="str">
        <x:v>未开始</x:v>
      </x:c>
      <x:c r="F27" s="16" t="str">
        <x:v>2026-06-24</x:v>
      </x:c>
      <x:c r="G27" s="16" t="str">
        <x:v>2026-06-27</x:v>
      </x:c>
      <x:c r="H27" s="16" t="str">
        <x:v>T024,T013</x:v>
      </x:c>
      <x:c r="I27" s="16" t="str">
        <x:v>结果页和分享卡的前提</x:v>
      </x:c>
      <x:c r="J27" s="16" t="str">
        <x:v>核心功能</x:v>
      </x:c>
      <x:c r="K27" s="16" t="str">
        <x:v>交互时长建议 30-45 秒</x:v>
      </x:c>
    </x:row>
    <x:row r="28" ht="48" hidden="0" customHeight="1">
      <x:c r="A28" s="16" t="str">
        <x:v>T026</x:v>
      </x:c>
      <x:c r="B28" s="16" t="str">
        <x:v>开发</x:v>
      </x:c>
      <x:c r="C28" s="16" t="str">
        <x:v>实现结果页基础解读</x:v>
      </x:c>
      <x:c r="D28" s="16" t="str">
        <x:v>我</x:v>
      </x:c>
      <x:c r="E28" s="16" t="str">
        <x:v>未开始</x:v>
      </x:c>
      <x:c r="F28" s="16" t="str">
        <x:v>2026-06-27</x:v>
      </x:c>
      <x:c r="G28" s="16" t="str">
        <x:v>2026-06-29</x:v>
      </x:c>
      <x:c r="H28" s="16" t="str">
        <x:v>T018,T025</x:v>
      </x:c>
      <x:c r="I28" s="16" t="str">
        <x:v>付费墙和分享卡的前提</x:v>
      </x:c>
      <x:c r="J28" s="16" t="str">
        <x:v>核心页面</x:v>
      </x:c>
      <x:c r="K28" s="16" t="str">
        <x:v>先读本地内容，AI 深度解读可分阶段</x:v>
      </x:c>
    </x:row>
    <x:row r="29" ht="48" hidden="0" customHeight="1">
      <x:c r="A29" s="16" t="str">
        <x:v>T027</x:v>
      </x:c>
      <x:c r="B29" s="16" t="str">
        <x:v>开发</x:v>
      </x:c>
      <x:c r="C29" s="16" t="str">
        <x:v>实现 AI 深度解读接口</x:v>
      </x:c>
      <x:c r="D29" s="16" t="str">
        <x:v>我</x:v>
      </x:c>
      <x:c r="E29" s="16" t="str">
        <x:v>未开始</x:v>
      </x:c>
      <x:c r="F29" s="16" t="str">
        <x:v>2026-06-29</x:v>
      </x:c>
      <x:c r="G29" s="16" t="str">
        <x:v>2026-07-02</x:v>
      </x:c>
      <x:c r="H29" s="16" t="str">
        <x:v>T016,T023,T026</x:v>
      </x:c>
      <x:c r="I29" s="16" t="str">
        <x:v>付费后交付深度解读的前提</x:v>
      </x:c>
      <x:c r="J29" s="16" t="str">
        <x:v>AI接口</x:v>
      </x:c>
      <x:c r="K29" s="16" t="str">
        <x:v>需你提供 API 账户或授权我创建</x:v>
      </x:c>
    </x:row>
    <x:row r="30" ht="36" hidden="0" customHeight="1">
      <x:c r="A30" s="16" t="str">
        <x:v>T028</x:v>
      </x:c>
      <x:c r="B30" s="16" t="str">
        <x:v>开发</x:v>
      </x:c>
      <x:c r="C30" s="16" t="str">
        <x:v>实现付费墙与订单状态占位</x:v>
      </x:c>
      <x:c r="D30" s="16" t="str">
        <x:v>我</x:v>
      </x:c>
      <x:c r="E30" s="16" t="str">
        <x:v>未开始</x:v>
      </x:c>
      <x:c r="F30" s="16" t="str">
        <x:v>2026-07-02</x:v>
      </x:c>
      <x:c r="G30" s="16" t="str">
        <x:v>2026-07-03</x:v>
      </x:c>
      <x:c r="H30" s="16" t="str">
        <x:v>T010,T026</x:v>
      </x:c>
      <x:c r="I30" s="16" t="str">
        <x:v>Stripe 接入前的前端准备</x:v>
      </x:c>
      <x:c r="J30" s="16" t="str">
        <x:v>付费墙</x:v>
      </x:c>
      <x:c r="K30" s="16" t="str">
        <x:v>$4.99 单次解锁</x:v>
      </x:c>
    </x:row>
    <x:row r="31" ht="84" hidden="0" customHeight="1">
      <x:c r="A31" s="16" t="str">
        <x:v>T029</x:v>
      </x:c>
      <x:c r="B31" s="16" t="str">
        <x:v>支付</x:v>
      </x:c>
      <x:c r="C31" s="16" t="str">
        <x:v>创建 Stripe/Lemon Squeezy/PayPal 账号并完成主体认证</x:v>
      </x:c>
      <x:c r="D31" s="16" t="str">
        <x:v>你</x:v>
      </x:c>
      <x:c r="E31" s="16" t="str">
        <x:v>未开始</x:v>
      </x:c>
      <x:c r="F31" s="16" t="str">
        <x:v>2026-06-22</x:v>
      </x:c>
      <x:c r="G31" s="16" t="str">
        <x:v>2026-07-03</x:v>
      </x:c>
      <x:c r="H31" s="16" t="str">
        <x:v>T009,T007</x:v>
      </x:c>
      <x:c r="I31" s="16" t="str">
        <x:v>我接入真实支付的前提</x:v>
      </x:c>
      <x:c r="J31" s="16" t="str">
        <x:v>支付账号</x:v>
      </x:c>
      <x:c r="K31" s="16" t="str">
        <x:v>优先 Stripe；不建议用 VPS 频繁登录支付账号</x:v>
      </x:c>
    </x:row>
    <x:row r="32" ht="48" hidden="0" customHeight="1">
      <x:c r="A32" s="16" t="str">
        <x:v>T030</x:v>
      </x:c>
      <x:c r="B32" s="16" t="str">
        <x:v>支付</x:v>
      </x:c>
      <x:c r="C32" s="16" t="str">
        <x:v>配置商品、价格、Webhook、测试支付</x:v>
      </x:c>
      <x:c r="D32" s="16" t="str">
        <x:v>我</x:v>
      </x:c>
      <x:c r="E32" s="16" t="str">
        <x:v>未开始</x:v>
      </x:c>
      <x:c r="F32" s="16" t="str">
        <x:v>2026-07-03</x:v>
      </x:c>
      <x:c r="G32" s="16" t="str">
        <x:v>2026-07-05</x:v>
      </x:c>
      <x:c r="H32" s="16" t="str">
        <x:v>T028,T029</x:v>
      </x:c>
      <x:c r="I32" s="16" t="str">
        <x:v>上线收费闭环的前提</x:v>
      </x:c>
      <x:c r="J32" s="16" t="str">
        <x:v>支付接入</x:v>
      </x:c>
      <x:c r="K32" s="16" t="str">
        <x:v>先用测试模式，再切生产</x:v>
      </x:c>
    </x:row>
    <x:row r="33" ht="60" hidden="0" customHeight="1">
      <x:c r="A33" s="16" t="str">
        <x:v>T031</x:v>
      </x:c>
      <x:c r="B33" s="16" t="str">
        <x:v>合规</x:v>
      </x:c>
      <x:c r="C33" s="16" t="str">
        <x:v>编写隐私政策、服务条款、免责声明</x:v>
      </x:c>
      <x:c r="D33" s="16" t="str">
        <x:v>我</x:v>
      </x:c>
      <x:c r="E33" s="16" t="str">
        <x:v>未开始</x:v>
      </x:c>
      <x:c r="F33" s="16" t="str">
        <x:v>2026-06-24</x:v>
      </x:c>
      <x:c r="G33" s="16" t="str">
        <x:v>2026-06-26</x:v>
      </x:c>
      <x:c r="H33" s="16" t="str">
        <x:v>T006</x:v>
      </x:c>
      <x:c r="I33" s="16" t="str">
        <x:v>支付审核、广告审核、上线页脚的前提</x:v>
      </x:c>
      <x:c r="J33" s="16" t="str">
        <x:v>合规页面</x:v>
      </x:c>
      <x:c r="K33" s="16" t="str">
        <x:v>强调自我探索/娱乐/灵感，不做医疗或投资建议</x:v>
      </x:c>
    </x:row>
    <x:row r="34" ht="48" hidden="0" customHeight="1">
      <x:c r="A34" s="16" t="str">
        <x:v>T032</x:v>
      </x:c>
      <x:c r="B34" s="16" t="str">
        <x:v>合规</x:v>
      </x:c>
      <x:c r="C34" s="16" t="str">
        <x:v>你确认主体名称、地址、退款政策</x:v>
      </x:c>
      <x:c r="D34" s="16" t="str">
        <x:v>你</x:v>
      </x:c>
      <x:c r="E34" s="16" t="str">
        <x:v>未开始</x:v>
      </x:c>
      <x:c r="F34" s="16" t="str">
        <x:v>2026-06-26</x:v>
      </x:c>
      <x:c r="G34" s="16" t="str">
        <x:v>2026-06-27</x:v>
      </x:c>
      <x:c r="H34" s="16" t="str">
        <x:v>T031</x:v>
      </x:c>
      <x:c r="I34" s="16" t="str">
        <x:v>我把政策页接入网站和支付后台的前提</x:v>
      </x:c>
      <x:c r="J34" s="16" t="str">
        <x:v>合规确认</x:v>
      </x:c>
      <x:c r="K34" s="16" t="str">
        <x:v>支付后台信息必须与政策页一致</x:v>
      </x:c>
    </x:row>
    <x:row r="35" ht="60" hidden="0" customHeight="1">
      <x:c r="A35" s="16" t="str">
        <x:v>T033</x:v>
      </x:c>
      <x:c r="B35" s="16" t="str">
        <x:v>SEO</x:v>
      </x:c>
      <x:c r="C35" s="16" t="str">
        <x:v>配置基础 SEO：标题、描述、站点地图、OG 图</x:v>
      </x:c>
      <x:c r="D35" s="16" t="str">
        <x:v>我</x:v>
      </x:c>
      <x:c r="E35" s="16" t="str">
        <x:v>未开始</x:v>
      </x:c>
      <x:c r="F35" s="16" t="str">
        <x:v>2026-06-29</x:v>
      </x:c>
      <x:c r="G35" s="16" t="str">
        <x:v>2026-07-01</x:v>
      </x:c>
      <x:c r="H35" s="16" t="str">
        <x:v>T022,T024</x:v>
      </x:c>
      <x:c r="I35" s="16" t="str">
        <x:v>搜索收录和分享预览的前提</x:v>
      </x:c>
      <x:c r="J35" s="16" t="str">
        <x:v>SEO</x:v>
      </x:c>
      <x:c r="K35" s="16" t="str">
        <x:v>Next.js SSR/SSG</x:v>
      </x:c>
    </x:row>
    <x:row r="36" ht="84" hidden="0" customHeight="1">
      <x:c r="A36" s="16" t="str">
        <x:v>T034</x:v>
      </x:c>
      <x:c r="B36" s="16" t="str">
        <x:v>SEO</x:v>
      </x:c>
      <x:c r="C36" s="16" t="str">
        <x:v>输出第一批 5 篇 SEO 文章大纲</x:v>
      </x:c>
      <x:c r="D36" s="16" t="str">
        <x:v>我</x:v>
      </x:c>
      <x:c r="E36" s="16" t="str">
        <x:v>未开始</x:v>
      </x:c>
      <x:c r="F36" s="16" t="str">
        <x:v>2026-06-24</x:v>
      </x:c>
      <x:c r="G36" s="16" t="str">
        <x:v>2026-06-25</x:v>
      </x:c>
      <x:c r="H36" s="16" t="str">
        <x:v>T006</x:v>
      </x:c>
      <x:c r="I36" s="16" t="str">
        <x:v>你确认内容方向后我写文章的前提</x:v>
      </x:c>
      <x:c r="J36" s="16" t="str">
        <x:v>SEO内容</x:v>
      </x:c>
      <x:c r="K36" s="16" t="str">
        <x:v>Beginner's Guide、Coin Method、64 Hexagrams 等</x:v>
      </x:c>
    </x:row>
    <x:row r="37" ht="48" hidden="0" customHeight="1">
      <x:c r="A37" s="16" t="str">
        <x:v>T035</x:v>
      </x:c>
      <x:c r="B37" s="16" t="str">
        <x:v>SEO</x:v>
      </x:c>
      <x:c r="C37" s="16" t="str">
        <x:v>确认 SEO 文章语气和禁用词</x:v>
      </x:c>
      <x:c r="D37" s="16" t="str">
        <x:v>你</x:v>
      </x:c>
      <x:c r="E37" s="16" t="str">
        <x:v>未开始</x:v>
      </x:c>
      <x:c r="F37" s="16" t="str">
        <x:v>2026-06-25</x:v>
      </x:c>
      <x:c r="G37" s="16" t="str">
        <x:v>2026-06-26</x:v>
      </x:c>
      <x:c r="H37" s="16" t="str">
        <x:v>T034</x:v>
      </x:c>
      <x:c r="I37" s="16" t="str">
        <x:v>我批量写 SEO 文章的前提</x:v>
      </x:c>
      <x:c r="J37" s="16" t="str">
        <x:v>内容确认</x:v>
      </x:c>
      <x:c r="K37" s="16" t="str">
        <x:v>避免 fortune-telling 保证性措辞</x:v>
      </x:c>
    </x:row>
    <x:row r="38" ht="36" hidden="0" customHeight="1">
      <x:c r="A38" s="16" t="str">
        <x:v>T036</x:v>
      </x:c>
      <x:c r="B38" s="16" t="str">
        <x:v>SEO</x:v>
      </x:c>
      <x:c r="C38" s="16" t="str">
        <x:v>撰写并发布第一批 5 篇 SEO 文章</x:v>
      </x:c>
      <x:c r="D38" s="16" t="str">
        <x:v>我</x:v>
      </x:c>
      <x:c r="E38" s="16" t="str">
        <x:v>未开始</x:v>
      </x:c>
      <x:c r="F38" s="16" t="str">
        <x:v>2026-07-01</x:v>
      </x:c>
      <x:c r="G38" s="16" t="str">
        <x:v>2026-07-05</x:v>
      </x:c>
      <x:c r="H38" s="16" t="str">
        <x:v>T033,T035</x:v>
      </x:c>
      <x:c r="I38" s="16" t="str">
        <x:v>长尾自然流量测试的前提</x:v>
      </x:c>
      <x:c r="J38" s="16" t="str">
        <x:v>SEO内容</x:v>
      </x:c>
      <x:c r="K38" s="16" t="str">
        <x:v>每篇带内链到起卦页</x:v>
      </x:c>
    </x:row>
    <x:row r="39" ht="60" hidden="0" customHeight="1">
      <x:c r="A39" s="16" t="str">
        <x:v>T037</x:v>
      </x:c>
      <x:c r="B39" s="16" t="str">
        <x:v>运营</x:v>
      </x:c>
      <x:c r="C39" s="16" t="str">
        <x:v>注册 TikTok/IG/Pinterest/Reddit 品牌账号</x:v>
      </x:c>
      <x:c r="D39" s="16" t="str">
        <x:v>你</x:v>
      </x:c>
      <x:c r="E39" s="16" t="str">
        <x:v>未开始</x:v>
      </x:c>
      <x:c r="F39" s="16" t="str">
        <x:v>2026-06-18</x:v>
      </x:c>
      <x:c r="G39" s="16" t="str">
        <x:v>2026-06-21</x:v>
      </x:c>
      <x:c r="H39" s="16" t="str">
        <x:v>T008,T006</x:v>
      </x:c>
      <x:c r="I39" s="16" t="str">
        <x:v>我给账号做主页文案和内容排期的前提</x:v>
      </x:c>
      <x:c r="J39" s="16" t="str">
        <x:v>社媒账号</x:v>
      </x:c>
      <x:c r="K39" s="16" t="str">
        <x:v>账号资料和邮箱统一，避免频繁切换登录环境</x:v>
      </x:c>
    </x:row>
    <x:row r="40" ht="36" hidden="0" customHeight="1">
      <x:c r="A40" s="16" t="str">
        <x:v>T038</x:v>
      </x:c>
      <x:c r="B40" s="16" t="str">
        <x:v>运营</x:v>
      </x:c>
      <x:c r="C40" s="16" t="str">
        <x:v>配置社媒头像、简介、链接页</x:v>
      </x:c>
      <x:c r="D40" s="16" t="str">
        <x:v>我</x:v>
      </x:c>
      <x:c r="E40" s="16" t="str">
        <x:v>未开始</x:v>
      </x:c>
      <x:c r="F40" s="16" t="str">
        <x:v>2026-06-21</x:v>
      </x:c>
      <x:c r="G40" s="16" t="str">
        <x:v>2026-06-22</x:v>
      </x:c>
      <x:c r="H40" s="16" t="str">
        <x:v>T037</x:v>
      </x:c>
      <x:c r="I40" s="16" t="str">
        <x:v>首批内容发布的前提</x:v>
      </x:c>
      <x:c r="J40" s="16" t="str">
        <x:v>社媒主页</x:v>
      </x:c>
      <x:c r="K40" s="16" t="str">
        <x:v>链接先放等待页/预览站</x:v>
      </x:c>
    </x:row>
    <x:row r="41" ht="36" hidden="0" customHeight="1">
      <x:c r="A41" s="16" t="str">
        <x:v>T039</x:v>
      </x:c>
      <x:c r="B41" s="16" t="str">
        <x:v>运营</x:v>
      </x:c>
      <x:c r="C41" s="16" t="str">
        <x:v>发布 6 条自然流量测试短视频</x:v>
      </x:c>
      <x:c r="D41" s="16" t="str">
        <x:v>你</x:v>
      </x:c>
      <x:c r="E41" s="16" t="str">
        <x:v>未开始</x:v>
      </x:c>
      <x:c r="F41" s="16" t="str">
        <x:v>2026-06-22</x:v>
      </x:c>
      <x:c r="G41" s="16" t="str">
        <x:v>2026-06-29</x:v>
      </x:c>
      <x:c r="H41" s="16" t="str">
        <x:v>T014,T038</x:v>
      </x:c>
      <x:c r="I41" s="16" t="str">
        <x:v>我判断素材方向和迭代脚本的前提</x:v>
      </x:c>
      <x:c r="J41" s="16" t="str">
        <x:v>冷启动</x:v>
      </x:c>
      <x:c r="K41" s="16" t="str">
        <x:v>每条记录播放、完播、互动、关注</x:v>
      </x:c>
    </x:row>
    <x:row r="42" ht="36" hidden="0" customHeight="1">
      <x:c r="A42" s="16" t="str">
        <x:v>T040</x:v>
      </x:c>
      <x:c r="B42" s="16" t="str">
        <x:v>运营</x:v>
      </x:c>
      <x:c r="C42" s="16" t="str">
        <x:v>建立社媒数据记录表和复盘模板</x:v>
      </x:c>
      <x:c r="D42" s="16" t="str">
        <x:v>我</x:v>
      </x:c>
      <x:c r="E42" s="16" t="str">
        <x:v>未开始</x:v>
      </x:c>
      <x:c r="F42" s="16" t="str">
        <x:v>2026-06-22</x:v>
      </x:c>
      <x:c r="G42" s="16" t="str">
        <x:v>2026-06-23</x:v>
      </x:c>
      <x:c r="H42" s="16" t="str">
        <x:v>T038</x:v>
      </x:c>
      <x:c r="I42" s="16" t="str">
        <x:v>你每次发布后记录数据的前提</x:v>
      </x:c>
      <x:c r="J42" s="16" t="str">
        <x:v>数据表</x:v>
      </x:c>
      <x:c r="K42" s="16" t="str">
        <x:v>指标：播放、完播、互动、点击</x:v>
      </x:c>
    </x:row>
    <x:row r="43" ht="36" hidden="0" customHeight="1">
      <x:c r="A43" s="16" t="str">
        <x:v>T041</x:v>
      </x:c>
      <x:c r="B43" s="16" t="str">
        <x:v>运营</x:v>
      </x:c>
      <x:c r="C43" s="16" t="str">
        <x:v>根据前 6 条数据判断内容方向</x:v>
      </x:c>
      <x:c r="D43" s="16" t="str">
        <x:v>我</x:v>
      </x:c>
      <x:c r="E43" s="16" t="str">
        <x:v>未开始</x:v>
      </x:c>
      <x:c r="F43" s="16" t="str">
        <x:v>2026-06-29</x:v>
      </x:c>
      <x:c r="G43" s="16" t="str">
        <x:v>2026-06-30</x:v>
      </x:c>
      <x:c r="H43" s="16" t="str">
        <x:v>T039,T040</x:v>
      </x:c>
      <x:c r="I43" s="16" t="str">
        <x:v>后续付费广告素材方向的前提</x:v>
      </x:c>
      <x:c r="J43" s="16" t="str">
        <x:v>复盘</x:v>
      </x:c>
      <x:c r="K43" s="16" t="str">
        <x:v>保留播放/互动最高的 2 条方向</x:v>
      </x:c>
    </x:row>
    <x:row r="44" ht="60" hidden="0" customHeight="1">
      <x:c r="A44" s="16" t="str">
        <x:v>T042</x:v>
      </x:c>
      <x:c r="B44" s="16" t="str">
        <x:v>广告</x:v>
      </x:c>
      <x:c r="C44" s="16" t="str">
        <x:v>准备 Meta/TikTok 广告账户主体资料</x:v>
      </x:c>
      <x:c r="D44" s="16" t="str">
        <x:v>你</x:v>
      </x:c>
      <x:c r="E44" s="16" t="str">
        <x:v>未开始</x:v>
      </x:c>
      <x:c r="F44" s="16" t="str">
        <x:v>2026-06-24</x:v>
      </x:c>
      <x:c r="G44" s="16" t="str">
        <x:v>2026-07-03</x:v>
      </x:c>
      <x:c r="H44" s="16" t="str">
        <x:v>T009,T037</x:v>
      </x:c>
      <x:c r="I44" s="16" t="str">
        <x:v>我配置像素和广告测试的前提</x:v>
      </x:c>
      <x:c r="J44" s="16" t="str">
        <x:v>广告账号</x:v>
      </x:c>
      <x:c r="K44" s="16" t="str">
        <x:v>与支付主体、网站政策保持一致</x:v>
      </x:c>
    </x:row>
    <x:row r="45" ht="48" hidden="0" customHeight="1">
      <x:c r="A45" s="16" t="str">
        <x:v>T043</x:v>
      </x:c>
      <x:c r="B45" s="16" t="str">
        <x:v>广告</x:v>
      </x:c>
      <x:c r="C45" s="16" t="str">
        <x:v>配置 Pixel、事件和转化目标</x:v>
      </x:c>
      <x:c r="D45" s="16" t="str">
        <x:v>我</x:v>
      </x:c>
      <x:c r="E45" s="16" t="str">
        <x:v>未开始</x:v>
      </x:c>
      <x:c r="F45" s="16" t="str">
        <x:v>2026-07-03</x:v>
      </x:c>
      <x:c r="G45" s="16" t="str">
        <x:v>2026-07-05</x:v>
      </x:c>
      <x:c r="H45" s="16" t="str">
        <x:v>T022,T030,T042</x:v>
      </x:c>
      <x:c r="I45" s="16" t="str">
        <x:v>广告测试闭环的前提</x:v>
      </x:c>
      <x:c r="J45" s="16" t="str">
        <x:v>广告埋点</x:v>
      </x:c>
      <x:c r="K45" s="16" t="str">
        <x:v>事件：Start Cast、View Result、Unlock</x:v>
      </x:c>
    </x:row>
    <x:row r="46" ht="36" hidden="0" customHeight="1">
      <x:c r="A46" s="16" t="str">
        <x:v>T044</x:v>
      </x:c>
      <x:c r="B46" s="16" t="str">
        <x:v>广告</x:v>
      </x:c>
      <x:c r="C46" s="16" t="str">
        <x:v>你确认首轮广告预算和止损线</x:v>
      </x:c>
      <x:c r="D46" s="16" t="str">
        <x:v>你</x:v>
      </x:c>
      <x:c r="E46" s="16" t="str">
        <x:v>未开始</x:v>
      </x:c>
      <x:c r="F46" s="16" t="str">
        <x:v>2026-07-05</x:v>
      </x:c>
      <x:c r="G46" s="16" t="str">
        <x:v>2026-07-06</x:v>
      </x:c>
      <x:c r="H46" s="16" t="str">
        <x:v>T041,T043</x:v>
      </x:c>
      <x:c r="I46" s="16" t="str">
        <x:v>我创建广告计划的前提</x:v>
      </x:c>
      <x:c r="J46" s="16" t="str">
        <x:v>预算决策</x:v>
      </x:c>
      <x:c r="K46" s="16" t="str">
        <x:v>建议 $30/天起，3 天一轮</x:v>
      </x:c>
    </x:row>
    <x:row r="47" ht="48" hidden="0" customHeight="1">
      <x:c r="A47" s="16" t="str">
        <x:v>T045</x:v>
      </x:c>
      <x:c r="B47" s="16" t="str">
        <x:v>广告</x:v>
      </x:c>
      <x:c r="C47" s="16" t="str">
        <x:v>创建首轮广告测试计划</x:v>
      </x:c>
      <x:c r="D47" s="16" t="str">
        <x:v>我</x:v>
      </x:c>
      <x:c r="E47" s="16" t="str">
        <x:v>未开始</x:v>
      </x:c>
      <x:c r="F47" s="16" t="str">
        <x:v>2026-07-06</x:v>
      </x:c>
      <x:c r="G47" s="16" t="str">
        <x:v>2026-07-08</x:v>
      </x:c>
      <x:c r="H47" s="16" t="str">
        <x:v>T044</x:v>
      </x:c>
      <x:c r="I47" s="16" t="str">
        <x:v>付费获客验证的前提</x:v>
      </x:c>
      <x:c r="J47" s="16" t="str">
        <x:v>广告计划</x:v>
      </x:c>
      <x:c r="K47" s="16" t="str">
        <x:v>3 类素材：视觉、故事、痛点</x:v>
      </x:c>
    </x:row>
    <x:row r="48" ht="60" hidden="0" customHeight="1">
      <x:c r="A48" s="16" t="str">
        <x:v>T046</x:v>
      </x:c>
      <x:c r="B48" s="16" t="str">
        <x:v>测试</x:v>
      </x:c>
      <x:c r="C48" s="16" t="str">
        <x:v>MVP 内测：移动端、支付测试、AI质量测试</x:v>
      </x:c>
      <x:c r="D48" s="16" t="str">
        <x:v>共同</x:v>
      </x:c>
      <x:c r="E48" s="16" t="str">
        <x:v>未开始</x:v>
      </x:c>
      <x:c r="F48" s="16" t="str">
        <x:v>2026-07-05</x:v>
      </x:c>
      <x:c r="G48" s="16" t="str">
        <x:v>2026-07-09</x:v>
      </x:c>
      <x:c r="H48" s="16" t="str">
        <x:v>T027,T030,T033</x:v>
      </x:c>
      <x:c r="I48" s="16" t="str">
        <x:v>正式上线前提</x:v>
      </x:c>
      <x:c r="J48" s="16" t="str">
        <x:v>测试</x:v>
      </x:c>
      <x:c r="K48" s="16" t="str">
        <x:v>你验体验，我修问题</x:v>
      </x:c>
    </x:row>
    <x:row r="49" ht="48" hidden="0" customHeight="1">
      <x:c r="A49" s="16" t="str">
        <x:v>T047</x:v>
      </x:c>
      <x:c r="B49" s="16" t="str">
        <x:v>上线</x:v>
      </x:c>
      <x:c r="C49" s="16" t="str">
        <x:v>正式上线 Launch</x:v>
      </x:c>
      <x:c r="D49" s="16" t="str">
        <x:v>共同</x:v>
      </x:c>
      <x:c r="E49" s="16" t="str">
        <x:v>未开始</x:v>
      </x:c>
      <x:c r="F49" s="16" t="str">
        <x:v>2026-07-10</x:v>
      </x:c>
      <x:c r="G49" s="16" t="str">
        <x:v>2026-07-10</x:v>
      </x:c>
      <x:c r="H49" s="16" t="str">
        <x:v>T046,T032</x:v>
      </x:c>
      <x:c r="I49" s="16" t="str">
        <x:v>后续广告与 SEO 收录的前提</x:v>
      </x:c>
      <x:c r="J49" s="16" t="str">
        <x:v>上线</x:v>
      </x:c>
      <x:c r="K49" s="16" t="str">
        <x:v>上线前检查支付、政策、移动端性能</x:v>
      </x:c>
    </x:row>
    <x:row r="50" ht="48" hidden="0" customHeight="1">
      <x:c r="A50" s="16" t="str">
        <x:v>T048</x:v>
      </x:c>
      <x:c r="B50" s="16" t="str">
        <x:v>上线</x:v>
      </x:c>
      <x:c r="C50" s="16" t="str">
        <x:v>上线后一周问题修复和转化复盘</x:v>
      </x:c>
      <x:c r="D50" s="16" t="str">
        <x:v>我</x:v>
      </x:c>
      <x:c r="E50" s="16" t="str">
        <x:v>未开始</x:v>
      </x:c>
      <x:c r="F50" s="16" t="str">
        <x:v>2026-07-11</x:v>
      </x:c>
      <x:c r="G50" s="16" t="str">
        <x:v>2026-07-17</x:v>
      </x:c>
      <x:c r="H50" s="16" t="str">
        <x:v>T047</x:v>
      </x:c>
      <x:c r="I50" s="16" t="str">
        <x:v>增长阶段迭代依据</x:v>
      </x:c>
      <x:c r="J50" s="16" t="str">
        <x:v>复盘</x:v>
      </x:c>
      <x:c r="K50" s="16" t="str">
        <x:v>重点看付费墙转化、AI满意度、页面掉线</x:v>
      </x:c>
    </x:row>
    <x:row r="51" ht="48" hidden="0" customHeight="1">
      <x:c r="A51" s="16" t="str">
        <x:v>T049</x:v>
      </x:c>
      <x:c r="B51" s="16" t="str">
        <x:v>增长</x:v>
      </x:c>
      <x:c r="C51" s="16" t="str">
        <x:v>补齐剩余 44 卦内容库</x:v>
      </x:c>
      <x:c r="D51" s="16" t="str">
        <x:v>我</x:v>
      </x:c>
      <x:c r="E51" s="16" t="str">
        <x:v>未开始</x:v>
      </x:c>
      <x:c r="F51" s="16" t="str">
        <x:v>2026-07-11</x:v>
      </x:c>
      <x:c r="G51" s="16" t="str">
        <x:v>2026-07-24</x:v>
      </x:c>
      <x:c r="H51" s="16" t="str">
        <x:v>T020,T047</x:v>
      </x:c>
      <x:c r="I51" s="16" t="str">
        <x:v>订阅制和 SEO 长尾扩展的前提</x:v>
      </x:c>
      <x:c r="J51" s="16" t="str">
        <x:v>内容库</x:v>
      </x:c>
      <x:c r="K51" s="16" t="str">
        <x:v>按表现最高主题优先</x:v>
      </x:c>
    </x:row>
    <x:row r="52" ht="36" hidden="0" customHeight="1">
      <x:c r="A52" s="16" t="str">
        <x:v>T050</x:v>
      </x:c>
      <x:c r="B52" s="16" t="str">
        <x:v>增长</x:v>
      </x:c>
      <x:c r="C52" s="16" t="str">
        <x:v>设计分享卡片 9:16 生成逻辑</x:v>
      </x:c>
      <x:c r="D52" s="16" t="str">
        <x:v>我</x:v>
      </x:c>
      <x:c r="E52" s="16" t="str">
        <x:v>未开始</x:v>
      </x:c>
      <x:c r="F52" s="16" t="str">
        <x:v>2026-07-14</x:v>
      </x:c>
      <x:c r="G52" s="16" t="str">
        <x:v>2026-07-18</x:v>
      </x:c>
      <x:c r="H52" s="16" t="str">
        <x:v>T026,T047</x:v>
      </x:c>
      <x:c r="I52" s="16" t="str">
        <x:v>社媒裂变的前提</x:v>
      </x:c>
      <x:c r="J52" s="16" t="str">
        <x:v>分享功能</x:v>
      </x:c>
      <x:c r="K52" s="16" t="str">
        <x:v>带品牌、卦象、二维码</x:v>
      </x:c>
    </x:row>
    <x:row r="53" ht="48" hidden="0" customHeight="1">
      <x:c r="A53" s="16" t="str">
        <x:v>T051</x:v>
      </x:c>
      <x:c r="B53" s="16" t="str">
        <x:v>增长</x:v>
      </x:c>
      <x:c r="C53" s="16" t="str">
        <x:v>准备 5-10 位 KOL 候选名单</x:v>
      </x:c>
      <x:c r="D53" s="16" t="str">
        <x:v>你</x:v>
      </x:c>
      <x:c r="E53" s="16" t="str">
        <x:v>未开始</x:v>
      </x:c>
      <x:c r="F53" s="16" t="str">
        <x:v>2026-07-15</x:v>
      </x:c>
      <x:c r="G53" s="16" t="str">
        <x:v>2026-07-22</x:v>
      </x:c>
      <x:c r="H53" s="16" t="str">
        <x:v>T047</x:v>
      </x:c>
      <x:c r="I53" s="16" t="str">
        <x:v>我写合作话术和追踪码的前提</x:v>
      </x:c>
      <x:c r="J53" s="16" t="str">
        <x:v>KOL</x:v>
      </x:c>
      <x:c r="K53" s="16" t="str">
        <x:v>1-5 万粉身心灵/冥想/塔罗博主</x:v>
      </x:c>
    </x:row>
    <x:row r="54" ht="48" hidden="0" customHeight="1">
      <x:c r="A54" s="16" t="str">
        <x:v>T052</x:v>
      </x:c>
      <x:c r="B54" s="16" t="str">
        <x:v>增长</x:v>
      </x:c>
      <x:c r="C54" s="16" t="str">
        <x:v>输出 KOL 合作话术、兑换码、追踪表</x:v>
      </x:c>
      <x:c r="D54" s="16" t="str">
        <x:v>我</x:v>
      </x:c>
      <x:c r="E54" s="16" t="str">
        <x:v>未开始</x:v>
      </x:c>
      <x:c r="F54" s="16" t="str">
        <x:v>2026-07-22</x:v>
      </x:c>
      <x:c r="G54" s="16" t="str">
        <x:v>2026-07-24</x:v>
      </x:c>
      <x:c r="H54" s="16" t="str">
        <x:v>T051</x:v>
      </x:c>
      <x:c r="I54" s="16" t="str">
        <x:v>你联系 KOL 的前提</x:v>
      </x:c>
      <x:c r="J54" s="16" t="str">
        <x:v>KOL</x:v>
      </x:c>
      <x:c r="K54" s="16" t="str">
        <x:v>按免费体验码+佣金或固定费用测试</x:v>
      </x:c>
    </x:row>
  </x:sheetData>
  <x:mergeCells>
    <x:mergeCell ref="A1:K1"/>
  </x:mergeCells>
  <x:conditionalFormatting sqref="E3:E54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阻塞"/>
  </x:conditionalFormatting>
  <x:dataValidations count="2">
    <x:dataValidation type="list" allowBlank="0" showDropDown="0" sqref="E3:E54">
      <x:formula1>"未开始,进行中,已完成,阻塞,待确认"</x:formula1>
    </x:dataValidation>
    <x:dataValidation type="list" allowBlank="0" showDropDown="0" sqref="D3:D54">
      <x:formula1>"你,我,共同"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5.5600004196167" hidden="0" customWidth="1"/>
    <x:col min="3" max="3" width="30" hidden="0" customWidth="1"/>
    <x:col min="4" max="4" width="28.889999389648438" hidden="0" customWidth="1"/>
    <x:col min="5" max="5" width="14.4399995803833" hidden="0" customWidth="1"/>
  </x:cols>
  <x:sheetData>
    <x:row r="1" ht="31.5" customHeight="1">
      <x:c r="A1" s="31" t="str">
        <x:v>依赖关系（重点看：你完成什么后，我才能继续什么）</x:v>
      </x:c>
      <x:c r="B1" s="31" t="str"/>
      <x:c r="C1" s="31" t="str"/>
      <x:c r="D1" s="31" t="str"/>
      <x:c r="E1" s="31" t="str"/>
      <x:c r="F1" s="32"/>
      <x:c r="G1" s="32"/>
      <x:c r="H1" s="32"/>
      <x:c r="I1" s="32"/>
      <x:c r="J1" s="32"/>
      <x:c r="K1" s="32"/>
    </x:row>
    <x:row r="2">
      <x:c r="A2" s="11" t="str">
        <x:v>我方任务</x:v>
      </x:c>
      <x:c r="B2" s="11" t="str">
        <x:v>依赖你的前置任务</x:v>
      </x:c>
      <x:c r="C2" s="11" t="str">
        <x:v>原因</x:v>
      </x:c>
      <x:c r="D2" s="11" t="str">
        <x:v>你完成后我能做什么</x:v>
      </x:c>
      <x:c r="E2" s="11" t="str">
        <x:v>当前状态</x:v>
      </x:c>
    </x:row>
    <x:row r="3">
      <x:c r="A3" s="16" t="str">
        <x:v>T004 配置中文桌面</x:v>
      </x:c>
      <x:c r="B3" s="16" t="str">
        <x:v>T001/T003</x:v>
      </x:c>
      <x:c r="C3" s="16" t="str">
        <x:v>需要已购买服务器并拿到登录信息</x:v>
      </x:c>
      <x:c r="D3" s="16" t="str">
        <x:v>完成中文桌面、浏览器、资料同步</x:v>
      </x:c>
      <x:c r="E3" s="16" t="str">
        <x:v>等待你购买</x:v>
      </x:c>
    </x:row>
    <x:row r="4">
      <x:c r="A4" s="16" t="str">
        <x:v>T011 产品 PRD</x:v>
      </x:c>
      <x:c r="B4" s="16" t="str">
        <x:v>T010</x:v>
      </x:c>
      <x:c r="C4" s="16" t="str">
        <x:v>首发功能和价格未确认前不宜开发</x:v>
      </x:c>
      <x:c r="D4" s="16" t="str">
        <x:v>输出页面结构和用户路径</x:v>
      </x:c>
      <x:c r="E4" s="16" t="str">
        <x:v>待你确认</x:v>
      </x:c>
    </x:row>
    <x:row r="5">
      <x:c r="A5" s="16" t="str">
        <x:v>T016 Prompt 测试</x:v>
      </x:c>
      <x:c r="B5" s="16" t="str">
        <x:v>T015</x:v>
      </x:c>
      <x:c r="C5" s="16" t="str">
        <x:v>需要真实用户问题输入</x:v>
      </x:c>
      <x:c r="D5" s="16" t="str">
        <x:v>测试解读质量并形成模板</x:v>
      </x:c>
      <x:c r="E5" s="16" t="str">
        <x:v>待你提供问题</x:v>
      </x:c>
    </x:row>
    <x:row r="6">
      <x:c r="A6" s="16" t="str">
        <x:v>T018 内容字段结构</x:v>
      </x:c>
      <x:c r="B6" s="16" t="str">
        <x:v>T017</x:v>
      </x:c>
      <x:c r="C6" s="16" t="str">
        <x:v>要先确认样例内容质量</x:v>
      </x:c>
      <x:c r="D6" s="16" t="str">
        <x:v>批量生成 64 卦内容库</x:v>
      </x:c>
      <x:c r="E6" s="16" t="str">
        <x:v>待你审核</x:v>
      </x:c>
    </x:row>
    <x:row r="7">
      <x:c r="A7" s="16" t="str">
        <x:v>T021/T022 开发部署</x:v>
      </x:c>
      <x:c r="B7" s="16" t="str">
        <x:v>T007</x:v>
      </x:c>
      <x:c r="C7" s="16" t="str">
        <x:v>部署和回调依赖域名/DNS</x:v>
      </x:c>
      <x:c r="D7" s="16" t="str">
        <x:v>搭建线上预览环境</x:v>
      </x:c>
      <x:c r="E7" s="16" t="str">
        <x:v>待你购买域名</x:v>
      </x:c>
    </x:row>
    <x:row r="8">
      <x:c r="A8" s="16" t="str">
        <x:v>T027 AI 接口</x:v>
      </x:c>
      <x:c r="B8" s="16" t="str">
        <x:v>T016/T023</x:v>
      </x:c>
      <x:c r="C8" s="16" t="str">
        <x:v>Prompt 和数据库结构是接口输入输出边界</x:v>
      </x:c>
      <x:c r="D8" s="16" t="str">
        <x:v>完成深度解读功能</x:v>
      </x:c>
      <x:c r="E8" s="16" t="str">
        <x:v>未开始</x:v>
      </x:c>
    </x:row>
    <x:row r="9">
      <x:c r="A9" s="16" t="str">
        <x:v>T030 支付接入</x:v>
      </x:c>
      <x:c r="B9" s="16" t="str">
        <x:v>T029</x:v>
      </x:c>
      <x:c r="C9" s="16" t="str">
        <x:v>真实支付必须有通过认证的账号</x:v>
      </x:c>
      <x:c r="D9" s="16" t="str">
        <x:v>配置商品、Webhook、测试支付</x:v>
      </x:c>
      <x:c r="E9" s="16" t="str">
        <x:v>待你认证支付账号</x:v>
      </x:c>
    </x:row>
    <x:row r="10">
      <x:c r="A10" s="16" t="str">
        <x:v>T031/T033 合规与 SEO</x:v>
      </x:c>
      <x:c r="B10" s="16" t="str">
        <x:v>T006/T007</x:v>
      </x:c>
      <x:c r="C10" s="16" t="str">
        <x:v>政策页、站点地图、OG 链接需要域名</x:v>
      </x:c>
      <x:c r="D10" s="16" t="str">
        <x:v>接入页脚、SEO、广告审核素材</x:v>
      </x:c>
      <x:c r="E10" s="16" t="str">
        <x:v>待域名</x:v>
      </x:c>
    </x:row>
    <x:row r="11">
      <x:c r="A11" s="16" t="str">
        <x:v>T038 社媒主页</x:v>
      </x:c>
      <x:c r="B11" s="16" t="str">
        <x:v>T037</x:v>
      </x:c>
      <x:c r="C11" s="16" t="str">
        <x:v>需要品牌账号登录权限</x:v>
      </x:c>
      <x:c r="D11" s="16" t="str">
        <x:v>配置简介、头像、链接页</x:v>
      </x:c>
      <x:c r="E11" s="16" t="str">
        <x:v>待你注册账号</x:v>
      </x:c>
    </x:row>
    <x:row r="12">
      <x:c r="A12" s="16" t="str">
        <x:v>T043 广告埋点</x:v>
      </x:c>
      <x:c r="B12" s="16" t="str">
        <x:v>T042/T030</x:v>
      </x:c>
      <x:c r="C12" s="16" t="str">
        <x:v>广告转化需要支付和广告账户闭环</x:v>
      </x:c>
      <x:c r="D12" s="16" t="str">
        <x:v>配置 Pixel 和转化事件</x:v>
      </x:c>
      <x:c r="E12" s="16" t="str">
        <x:v>待你准备账号</x:v>
      </x:c>
    </x:row>
    <x:row r="13">
      <x:c r="A13" s="16" t="str">
        <x:v>T045 广告计划</x:v>
      </x:c>
      <x:c r="B13" s="16" t="str">
        <x:v>T044</x:v>
      </x:c>
      <x:c r="C13" s="16" t="str">
        <x:v>预算和止损线决定投放结构</x:v>
      </x:c>
      <x:c r="D13" s="16" t="str">
        <x:v>创建首轮测试计划</x:v>
      </x:c>
      <x:c r="E13" s="16" t="str">
        <x:v>待你确认预算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1.110000610351562" hidden="0" customWidth="1"/>
    <x:col min="3" max="3" width="23.329999923706055" hidden="0" customWidth="1"/>
    <x:col min="4" max="4" width="24.440000534057617" hidden="0" customWidth="1"/>
    <x:col min="5" max="5" width="20" hidden="0" customWidth="1"/>
    <x:col min="6" max="6" width="24.440000534057617" hidden="0" customWidth="1"/>
    <x:col min="7" max="7" width="27.780000686645508" hidden="0" customWidth="1"/>
    <x:col min="8" max="8" width="27.780000686645508" hidden="0" customWidth="1"/>
    <x:col min="9" max="9" width="25.559999465942383" hidden="0" customWidth="1"/>
  </x:cols>
  <x:sheetData>
    <x:row r="1" ht="31.5" customHeight="1">
      <x:c r="A1" s="31" t="str">
        <x:v>服务器采购决策（海外中文桌面 + 后期推广/支付工作台）</x:v>
      </x:c>
      <x:c r="B1" s="31" t="str"/>
      <x:c r="C1" s="31" t="str"/>
      <x:c r="D1" s="31" t="str"/>
      <x:c r="E1" s="31" t="str"/>
      <x:c r="F1" s="31" t="str"/>
      <x:c r="G1" s="31" t="str"/>
      <x:c r="H1" s="31" t="str"/>
      <x:c r="I1" s="31" t="str"/>
      <x:c r="J1" s="32"/>
      <x:c r="K1" s="32"/>
    </x:row>
    <x:row r="2">
      <x:c r="A2" s="21" t="str">
        <x:v>结论</x:v>
      </x:c>
      <x:c r="B2" s="21" t="str">
        <x:v>你没有国际信用卡，今天购买建议改为：Cloudzy Windows VPS 4GB 或 LightNode Windows VPS，选择美国机房，用支付宝付款。Kamatera 初次激活通常需要信用卡，不再作为当前首选。</x:v>
      </x:c>
    </x:row>
    <x:row r="3">
      <x:c r="A3" s="21" t="str">
        <x:v>为什么</x:v>
      </x:c>
      <x:c r="B3" s="21" t="str">
        <x:v>你的当前需求是“海外中文桌面+后期推广/支付后台操作”，不是单纯网站生产服务器。网站上线仍建议 Vercel + Supabase + Cloudflare，运营桌面只做工作台；服务器采购优先解决你能用支付宝付款的问题。</x:v>
      </x:c>
    </x:row>
    <x:row r="4">
      <x:c r="A4" s="21" t="str">
        <x:v>重要风险</x:v>
      </x:c>
      <x:c r="B4" s="21" t="str">
        <x:v>Stripe/PayPal/广告账户不建议频繁更换 IP 或使用廉价共享机房 IP 登录；用固定设备、固定地区、2FA、真实主体资料更重要。</x:v>
      </x:c>
    </x:row>
    <x:row r="5">
      <x:c r="A5" s="11" t="str">
        <x:v>优先级</x:v>
      </x:c>
      <x:c r="B5" s="11" t="str">
        <x:v>厂商/方案</x:v>
      </x:c>
      <x:c r="C5" s="11" t="str">
        <x:v>适合用途</x:v>
      </x:c>
      <x:c r="D5" s="11" t="str">
        <x:v>推荐配置</x:v>
      </x:c>
      <x:c r="E5" s="11" t="str">
        <x:v>月成本估算</x:v>
      </x:c>
      <x:c r="F5" s="11" t="str">
        <x:v>优点</x:v>
      </x:c>
      <x:c r="G5" s="11" t="str">
        <x:v>缺点/风险</x:v>
      </x:c>
      <x:c r="H5" s="11" t="str">
        <x:v>采购建议</x:v>
      </x:c>
      <x:c r="I5" s="11" t="str">
        <x:v>来源</x:v>
      </x:c>
    </x:row>
    <x:row r="6">
      <x:c r="A6" s="22" t="str">
        <x:v>1</x:v>
      </x:c>
      <x:c r="B6" s="16" t="str">
        <x:v>Cloudzy Windows VPS</x:v>
      </x:c>
      <x:c r="C6" s="16" t="str">
        <x:v>运营桌面、RDP、广告后台、素材处理、支付后台谨慎操作</x:v>
      </x:c>
      <x:c r="D6" s="16" t="str">
        <x:v>Windows Server/Windows 10/11；建议 2 vCPU；4GB RAM；60GB+ NVMe；美国机房</x:v>
      </x:c>
      <x:c r="E6" s="16" t="str">
        <x:v>4GB Windows VPS 页面显示约 $14.47/月促销价，Alipay VPS 页面显示支持支付宝，具体以结算页为准</x:v>
      </x:c>
      <x:c r="F6" s="16" t="str">
        <x:v>支持 Windows/RDP；支持 Alipay；无需国际信用卡起步；可快速部署</x:v>
      </x:c>
      <x:c r="G6" s="16" t="str">
        <x:v>品牌知名度低于大厂；支付/广告账号仍要注意 IP 风控</x:v>
      </x:c>
      <x:c r="H6" s="16" t="str">
        <x:v>当前最符合“支付宝付款 + 中文桌面”的首选</x:v>
      </x:c>
      <x:c r="I6" s="16" t="str">
        <x:v>https://cloudzy.com/windows-vps/ / https://cloudzy.com/alipay-vps/</x:v>
      </x:c>
    </x:row>
    <x:row r="7">
      <x:c r="A7" s="23" t="str">
        <x:v>2</x:v>
      </x:c>
      <x:c r="B7" s="16" t="str">
        <x:v>LightNode Windows VPS</x:v>
      </x:c>
      <x:c r="C7" s="16" t="str">
        <x:v>运营桌面、RDP、备用工作台</x:v>
      </x:c>
      <x:c r="D7" s="16" t="str">
        <x:v>Windows VPS；建议 2GB 起步，最好 4GB；美国机房</x:v>
      </x:c>
      <x:c r="E7" s="16" t="str">
        <x:v>Windows VPS 页面显示约 $13.7/月起；Alipay VPS 页面显示支持支付宝</x:v>
      </x:c>
      <x:c r="F7" s="16" t="str">
        <x:v>支持 Windows VPS；支持 Alipay；40+ 机房；小时计费灵活</x:v>
      </x:c>
      <x:c r="G7" s="16" t="str">
        <x:v>低配 Windows 可能卡，建议别买 1GB；需确认美国节点库存</x:v>
      </x:c>
      <x:c r="H7" s="16" t="str">
        <x:v>备选首选，适合先小额测试 1-3 天</x:v>
      </x:c>
      <x:c r="I7" s="16" t="str">
        <x:v>https://go.lightnode.com/windows-vps / https://go.lightnode.com/alipay-vps</x:v>
      </x:c>
    </x:row>
    <x:row r="8">
      <x:c r="A8" s="24" t="str">
        <x:v>3</x:v>
      </x:c>
      <x:c r="B8" s="16" t="str">
        <x:v>Hostinger KVM 2/4</x:v>
      </x:c>
      <x:c r="C8" s="16" t="str">
        <x:v>Linux VPS、自动化、n8n、网站实验</x:v>
      </x:c>
      <x:c r="D8" s="16" t="str">
        <x:v>KVM 2: 2 vCPU/8GB/100GB；KVM 4: 4 vCPU/16GB/200GB</x:v>
      </x:c>
      <x:c r="E8" s="16" t="str">
        <x:v>$8.99-$12.99/月促销；官方支付页列出 Alipay</x:v>
      </x:c>
      <x:c r="F8" s="16" t="str">
        <x:v>面板友好；资源充足；可用支付宝</x:v>
      </x:c>
      <x:c r="G8" s="16" t="str">
        <x:v>官方页面更偏 Linux VPS，不是直接中文 Windows 桌面</x:v>
      </x:c>
      <x:c r="H8" s="16" t="str">
        <x:v>不作为首选运营桌面；可作为后期自动化服务器</x:v>
      </x:c>
      <x:c r="I8" s="16" t="str">
        <x:v>https://www.hostinger.com/vps-hosting / https://www.hostinger.com/payments</x:v>
      </x:c>
    </x:row>
    <x:row r="9">
      <x:c r="A9" s="25" t="str">
        <x:v>4</x:v>
      </x:c>
      <x:c r="B9" s="16" t="str">
        <x:v>Kamatera Windows Desktop</x:v>
      </x:c>
      <x:c r="C9" s="16" t="str">
        <x:v>原推荐运营桌面</x:v>
      </x:c>
      <x:c r="D9" s="16" t="str">
        <x:v>Windows Desktop 11；2 vCPU；4GB RAM；美国机房</x:v>
      </x:c>
      <x:c r="E9" s="16" t="str">
        <x:v>Windows Desktop 镜像官方显示 +$10/月，具体以结算页为准</x:v>
      </x:c>
      <x:c r="F9" s="16" t="str">
        <x:v>产品灵活、机房多、可扩容</x:v>
      </x:c>
      <x:c r="G9" s="16" t="str">
        <x:v>官方说明新账号初始激活需要信用/借记卡；不适合你当前无国际信用卡情况</x:v>
      </x:c>
      <x:c r="H9" s="16" t="str">
        <x:v>暂不推荐，除非你后续有可用国际卡</x:v>
      </x:c>
      <x:c r="I9" s="16" t="str">
        <x:v>https://www.kamatera.com/faq/answer/which-payment-methods-do-you-accept/</x:v>
      </x:c>
    </x:row>
    <x:row r="10">
      <x:c r="A10" s="25" t="str">
        <x:v>5</x:v>
      </x:c>
      <x:c r="B10" s="16" t="str">
        <x:v>Vercel + Supabase + Cloudflare</x:v>
      </x:c>
      <x:c r="C10" s="16" t="str">
        <x:v>产品正式上线</x:v>
      </x:c>
      <x:c r="D10" s="16" t="str">
        <x:v>Vercel 部署；Supabase DB/Auth；Cloudflare DNS/CDN</x:v>
      </x:c>
      <x:c r="E10" s="16" t="str">
        <x:v>初期可免费/低成本，但付费升级可能仍要绑定卡或其他支付方式</x:v>
      </x:c>
      <x:c r="F10" s="16" t="str">
        <x:v>最适合 Next.js；全球 CDN；不用维护服务器</x:v>
      </x:c>
      <x:c r="G10" s="16" t="str">
        <x:v>不是中文桌面；不能替代运营环境</x:v>
      </x:c>
      <x:c r="H10" s="16" t="str">
        <x:v>网站生产环境优先选这个，不建议用 VPS 自托管 MVP</x:v>
      </x:c>
      <x:c r="I10" s="16" t="str">
        <x:v>https://vercel.com/pricing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8.889999389648438" hidden="0" customWidth="1"/>
    <x:col min="3" max="3" width="28.889999389648438" hidden="0" customWidth="1"/>
    <x:col min="4" max="4" width="35.560001373291016" hidden="0" customWidth="1"/>
    <x:col min="5" max="5" width="11.109999656677246" hidden="0" customWidth="1"/>
  </x:cols>
  <x:sheetData>
    <x:row r="1" ht="31.5" customHeight="1">
      <x:c r="A1" s="31" t="str">
        <x:v>账号与支付合规清单</x:v>
      </x:c>
      <x:c r="B1" s="31" t="str"/>
      <x:c r="C1" s="31" t="str"/>
      <x:c r="D1" s="31" t="str"/>
      <x:c r="E1" s="31" t="str"/>
      <x:c r="F1" s="32"/>
      <x:c r="G1" s="32"/>
      <x:c r="H1" s="32"/>
      <x:c r="I1" s="32"/>
      <x:c r="J1" s="32"/>
      <x:c r="K1" s="32"/>
    </x:row>
    <x:row r="2">
      <x:c r="A2" s="11" t="str">
        <x:v>事项</x:v>
      </x:c>
      <x:c r="B2" s="11" t="str">
        <x:v>你完成</x:v>
      </x:c>
      <x:c r="C2" s="11" t="str">
        <x:v>我完成</x:v>
      </x:c>
      <x:c r="D2" s="11" t="str">
        <x:v>注意点</x:v>
      </x:c>
      <x:c r="E2" s="11" t="str">
        <x:v>状态</x:v>
      </x:c>
    </x:row>
    <x:row r="3">
      <x:c r="A3" s="16" t="str">
        <x:v>支付主体资料</x:v>
      </x:c>
      <x:c r="B3" s="16" t="str">
        <x:v>准备证件/公司资料/银行/地址证明</x:v>
      </x:c>
      <x:c r="C3" s="16" t="str">
        <x:v>整理 Stripe/PayPal/Lemon Squeezy 审核清单</x:v>
      </x:c>
      <x:c r="D3" s="16" t="str">
        <x:v>资料、网站、政策页必须一致</x:v>
      </x:c>
      <x:c r="E3" s="16" t="str">
        <x:v>未开始</x:v>
      </x:c>
    </x:row>
    <x:row r="4">
      <x:c r="A4" s="16" t="str">
        <x:v>支付后台登录</x:v>
      </x:c>
      <x:c r="B4" s="16" t="str">
        <x:v>尽量固定设备/地区/IP；开启 2FA</x:v>
      </x:c>
      <x:c r="C4" s="16" t="str">
        <x:v>只做技术配置和测试模式接入</x:v>
      </x:c>
      <x:c r="D4" s="16" t="str">
        <x:v>不要频繁换 VPS 或多人异地登录</x:v>
      </x:c>
      <x:c r="E4" s="16" t="str">
        <x:v>未开始</x:v>
      </x:c>
    </x:row>
    <x:row r="5">
      <x:c r="A5" s="16" t="str">
        <x:v>广告账号</x:v>
      </x:c>
      <x:c r="B5" s="16" t="str">
        <x:v>注册 Meta/TikTok 广告账户，绑定真实付款方式</x:v>
      </x:c>
      <x:c r="C5" s="16" t="str">
        <x:v>配置 Pixel、事件、落地页一致性</x:v>
      </x:c>
      <x:c r="D5" s="16" t="str">
        <x:v>文案避免保证性预测、算命、医疗替代</x:v>
      </x:c>
      <x:c r="E5" s="16" t="str">
        <x:v>未开始</x:v>
      </x:c>
    </x:row>
    <x:row r="6">
      <x:c r="A6" s="16" t="str">
        <x:v>网站政策页</x:v>
      </x:c>
      <x:c r="B6" s="16" t="str">
        <x:v>确认主体名称、邮箱、退款规则</x:v>
      </x:c>
      <x:c r="C6" s="16" t="str">
        <x:v>生成隐私政策、服务条款、免责声明</x:v>
      </x:c>
      <x:c r="D6" s="16" t="str">
        <x:v>免责声明要强调 self-reflection / entertainment / inspiration</x:v>
      </x:c>
      <x:c r="E6" s="16" t="str">
        <x:v>未开始</x:v>
      </x:c>
    </x:row>
    <x:row r="7">
      <x:c r="A7" s="16" t="str">
        <x:v>域名和邮箱</x:v>
      </x:c>
      <x:c r="B7" s="16" t="str">
        <x:v>购买域名，设置项目邮箱</x:v>
      </x:c>
      <x:c r="C7" s="16" t="str">
        <x:v>配置 DNS、发信域名、站点地图</x:v>
      </x:c>
      <x:c r="D7" s="16" t="str">
        <x:v>域名主体与支付审核资料尽量一致</x:v>
      </x:c>
      <x:c r="E7" s="16" t="str">
        <x:v>未开始</x:v>
      </x:c>
    </x:row>
    <x:row r="8">
      <x:c r="A8" s="16" t="str">
        <x:v>账号凭据管理</x:v>
      </x:c>
      <x:c r="B8" s="16" t="str">
        <x:v>启用 2FA，保管主密钥</x:v>
      </x:c>
      <x:c r="C8" s="16" t="str">
        <x:v>搭建账号资料清单模板</x:v>
      </x:c>
      <x:c r="D8" s="16" t="str">
        <x:v>表格不保存明文密码</x:v>
      </x:c>
      <x:c r="E8" s="16" t="str">
        <x:v>未开始</x:v>
      </x:c>
    </x:row>
  </x:sheetData>
  <x:mergeCells>
    <x:mergeCell ref="A1:E1"/>
  </x:mergeCells>
  <x:dataValidations count="1">
    <x:dataValidation type="list" allowBlank="0" showDropDown="0" sqref="E3:E8">
      <x:formula1>"未开始,进行中,已完成,阻塞,待确认"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33.33000183105469" hidden="0" customWidth="1"/>
    <x:col min="3" max="3" width="57.779998779296875" hidden="0" customWidth="1"/>
  </x:cols>
  <x:sheetData>
    <x:row r="1" ht="31.5" customHeight="1">
      <x:c r="A1" s="31" t="str">
        <x:v>数据源与依据</x:v>
      </x:c>
      <x:c r="B1" s="31" t="str"/>
      <x:c r="C1" s="31" t="str"/>
      <x:c r="D1" s="32"/>
      <x:c r="E1" s="32"/>
      <x:c r="F1" s="32"/>
      <x:c r="G1" s="32"/>
      <x:c r="H1" s="32"/>
      <x:c r="I1" s="32"/>
      <x:c r="J1" s="32"/>
      <x:c r="K1" s="32"/>
    </x:row>
    <x:row r="2">
      <x:c r="A2" s="11" t="str">
        <x:v>来源</x:v>
      </x:c>
      <x:c r="B2" s="11" t="str">
        <x:v>用途</x:v>
      </x:c>
      <x:c r="C2" s="11" t="str">
        <x:v>URL/文件</x:v>
      </x:c>
    </x:row>
    <x:row r="3">
      <x:c r="A3" s="16" t="str">
        <x:v>项目总览与落地执行方案</x:v>
      </x:c>
      <x:c r="B3" s="16" t="str">
        <x:v>定位、路线图、3D 资产状态</x:v>
      </x:c>
      <x:c r="C3" s="16" t="str">
        <x:v>/Users/mac/Desktop/欧美易经市场落地方案/01_项目总览与落地执行方案.md</x:v>
      </x:c>
    </x:row>
    <x:row r="4">
      <x:c r="A4" s="16" t="str">
        <x:v>项目执行与运营计划书</x:v>
      </x:c>
      <x:c r="B4" s="16" t="str">
        <x:v>技术架构、推广矩阵、Roadmap</x:v>
      </x:c>
      <x:c r="C4" s="16" t="str">
        <x:v>/Users/mac/Desktop/欧美易经市场落地方案/项目执行与运营计划书.md</x:v>
      </x:c>
    </x:row>
    <x:row r="5">
      <x:c r="A5" s="16" t="str">
        <x:v>64卦网站-欧美市场建设方案-开发版</x:v>
      </x:c>
      <x:c r="B5" s="16" t="str">
        <x:v>开发优先级、SEO 内容策略、支付方案</x:v>
      </x:c>
      <x:c r="C5" s="16" t="str">
        <x:v>/Users/mac/Desktop/欧美易经市场落地方案/64卦网站-欧美市场建设方案-开发版.md</x:v>
      </x:c>
    </x:row>
    <x:row r="6">
      <x:c r="A6" s="16" t="str">
        <x:v>竞品深度拆解报告</x:v>
      </x:c>
      <x:c r="B6" s="16" t="str">
        <x:v>用户痛点、付费墙、分享卡片要求</x:v>
      </x:c>
      <x:c r="C6" s="16" t="str">
        <x:v>/Users/mac/Desktop/欧美易经市场落地方案/02_竞品深度拆解报告.md</x:v>
      </x:c>
    </x:row>
    <x:row r="7">
      <x:c r="A7" s="16" t="str">
        <x:v>Contabo 官方 VPS 页</x:v>
      </x:c>
      <x:c r="B7" s="16" t="str">
        <x:v>Cloud VPS 10 规格与低价</x:v>
      </x:c>
      <x:c r="C7" s="16" t="str">
        <x:v>https://contabo.com/en-us/vps/</x:v>
      </x:c>
    </x:row>
    <x:row r="8">
      <x:c r="A8" s="16" t="str">
        <x:v>Kamatera 官方价格页</x:v>
      </x:c>
      <x:c r="B8" s="16" t="str">
        <x:v>Windows Desktop/Server、试用、机房、扩缩容信息</x:v>
      </x:c>
      <x:c r="C8" s="16" t="str">
        <x:v>https://www.kamatera.com/pricing/</x:v>
      </x:c>
    </x:row>
    <x:row r="9">
      <x:c r="A9" s="16" t="str">
        <x:v>Hostinger 官方 VPS 页</x:v>
      </x:c>
      <x:c r="B9" s="16" t="str">
        <x:v>KVM VPS 价格与 Linux VPS 适用场景</x:v>
      </x:c>
      <x:c r="C9" s="16" t="str">
        <x:v>https://www.hostinger.com/vps-hosting</x:v>
      </x:c>
    </x:row>
    <x:row r="10">
      <x:c r="A10" s="16" t="str">
        <x:v>Cloudzy Windows VPS / Alipay VPS</x:v>
      </x:c>
      <x:c r="B10" s="16" t="str">
        <x:v>无国际信用卡时购买 Windows RDP 的首选依据</x:v>
      </x:c>
      <x:c r="C10" s="16" t="str">
        <x:v>https://cloudzy.com/windows-vps/ / https://cloudzy.com/alipay-vps/</x:v>
      </x:c>
    </x:row>
    <x:row r="11">
      <x:c r="A11" s="16" t="str">
        <x:v>LightNode Windows VPS / Alipay VPS</x:v>
      </x:c>
      <x:c r="B11" s="16" t="str">
        <x:v>无国际信用卡时购买 Windows VPS 的备选依据</x:v>
      </x:c>
      <x:c r="C11" s="16" t="str">
        <x:v>https://go.lightnode.com/windows-vps / https://go.lightnode.com/alipay-vps</x:v>
      </x:c>
    </x:row>
  </x:sheetData>
  <x:mergeCells>
    <x:mergeCell ref="A1:C1"/>
  </x:mergeCells>
  <x:pageMargins left="0.7" right="0.7" top="0.75" bottom="0.75" header="0.3" footer="0.3"/>
</x:worksheet>
</file>